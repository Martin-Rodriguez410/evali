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17346470-3\Desktop\DD\Desktop\ESTADISTICA CROG\2025\REM\09 SEPTIEMBRE\"/>
    </mc:Choice>
  </mc:AlternateContent>
  <xr:revisionPtr revIDLastSave="0" documentId="13_ncr:1_{E1582B24-2CC3-49C5-8889-01ED58D106F3}" xr6:coauthVersionLast="47" xr6:coauthVersionMax="47" xr10:uidLastSave="{00000000-0000-0000-0000-000000000000}"/>
  <bookViews>
    <workbookView xWindow="-120" yWindow="-120" windowWidth="29040" windowHeight="15720" tabRatio="412" xr2:uid="{00000000-000D-0000-FFFF-FFFF00000000}"/>
  </bookViews>
  <sheets>
    <sheet name="2025" sheetId="4" r:id="rId1"/>
    <sheet name="BCG (2)" sheetId="6" r:id="rId2"/>
    <sheet name="BCG" sheetId="5" r:id="rId3"/>
    <sheet name="REM" sheetId="3" r:id="rId4"/>
  </sheets>
  <definedNames>
    <definedName name="_xlnm._FilterDatabase" localSheetId="0" hidden="1">'2025'!$A$2:$AU$203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G5" i="3"/>
  <c r="L5" i="3"/>
  <c r="AT146" i="4" l="1"/>
  <c r="B29" i="6" l="1"/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3" i="6"/>
  <c r="G4" i="6"/>
  <c r="G5" i="6"/>
  <c r="G6" i="6"/>
  <c r="G7" i="6"/>
  <c r="G8" i="6"/>
  <c r="G9" i="6"/>
  <c r="G10" i="6"/>
  <c r="G11" i="6"/>
  <c r="G12" i="6"/>
  <c r="G13" i="6"/>
  <c r="G14" i="6"/>
  <c r="G16" i="6"/>
  <c r="G17" i="6"/>
  <c r="G18" i="6"/>
  <c r="G19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3" i="6"/>
  <c r="C64" i="5" l="1"/>
  <c r="C34" i="3" l="1"/>
  <c r="C35" i="3"/>
  <c r="C36" i="3"/>
  <c r="C37" i="3"/>
  <c r="C26" i="3"/>
  <c r="D26" i="3"/>
  <c r="D27" i="3"/>
  <c r="C27" i="3"/>
  <c r="B27" i="3"/>
  <c r="B26" i="3"/>
  <c r="C21" i="3"/>
  <c r="D21" i="3"/>
  <c r="D20" i="3"/>
  <c r="C20" i="3"/>
  <c r="B20" i="3"/>
  <c r="A4" i="5"/>
  <c r="B4" i="5"/>
  <c r="C4" i="5"/>
  <c r="E4" i="5"/>
  <c r="F4" i="5"/>
  <c r="G4" i="5"/>
  <c r="H4" i="5"/>
  <c r="I4" i="5"/>
  <c r="K4" i="5"/>
  <c r="A5" i="5"/>
  <c r="B5" i="5"/>
  <c r="C5" i="5"/>
  <c r="E5" i="5"/>
  <c r="F5" i="5"/>
  <c r="G5" i="5"/>
  <c r="H5" i="5"/>
  <c r="I5" i="5"/>
  <c r="K5" i="5"/>
  <c r="A6" i="5"/>
  <c r="B6" i="5"/>
  <c r="C6" i="5"/>
  <c r="E6" i="5"/>
  <c r="F6" i="5"/>
  <c r="G6" i="5"/>
  <c r="H6" i="5"/>
  <c r="I6" i="5"/>
  <c r="K6" i="5"/>
  <c r="A7" i="5"/>
  <c r="B7" i="5"/>
  <c r="C7" i="5"/>
  <c r="E7" i="5"/>
  <c r="F7" i="5"/>
  <c r="G7" i="5"/>
  <c r="H7" i="5"/>
  <c r="I7" i="5"/>
  <c r="K7" i="5"/>
  <c r="A8" i="5"/>
  <c r="B8" i="5"/>
  <c r="C8" i="5"/>
  <c r="E8" i="5"/>
  <c r="F8" i="5"/>
  <c r="G8" i="5"/>
  <c r="H8" i="5"/>
  <c r="I8" i="5"/>
  <c r="K8" i="5"/>
  <c r="A9" i="5"/>
  <c r="B9" i="5"/>
  <c r="C9" i="5"/>
  <c r="E9" i="5"/>
  <c r="F9" i="5"/>
  <c r="G9" i="5"/>
  <c r="H9" i="5"/>
  <c r="I9" i="5"/>
  <c r="K9" i="5"/>
  <c r="A10" i="5"/>
  <c r="B10" i="5"/>
  <c r="C10" i="5"/>
  <c r="E10" i="5"/>
  <c r="F10" i="5"/>
  <c r="G10" i="5"/>
  <c r="H10" i="5"/>
  <c r="I10" i="5"/>
  <c r="K10" i="5"/>
  <c r="A11" i="5"/>
  <c r="B11" i="5"/>
  <c r="C11" i="5"/>
  <c r="E11" i="5"/>
  <c r="F11" i="5"/>
  <c r="G11" i="5"/>
  <c r="H11" i="5"/>
  <c r="I11" i="5"/>
  <c r="K11" i="5"/>
  <c r="A12" i="5"/>
  <c r="B12" i="5"/>
  <c r="C12" i="5"/>
  <c r="E12" i="5"/>
  <c r="F12" i="5"/>
  <c r="G12" i="5"/>
  <c r="H12" i="5"/>
  <c r="I12" i="5"/>
  <c r="K12" i="5"/>
  <c r="A13" i="5"/>
  <c r="B13" i="5"/>
  <c r="C13" i="5"/>
  <c r="E13" i="5"/>
  <c r="F13" i="5"/>
  <c r="G13" i="5"/>
  <c r="H13" i="5"/>
  <c r="I13" i="5"/>
  <c r="K13" i="5"/>
  <c r="A14" i="5"/>
  <c r="B14" i="5"/>
  <c r="C14" i="5"/>
  <c r="E14" i="5"/>
  <c r="F14" i="5"/>
  <c r="G14" i="5"/>
  <c r="H14" i="5"/>
  <c r="I14" i="5"/>
  <c r="K14" i="5"/>
  <c r="A15" i="5"/>
  <c r="B15" i="5"/>
  <c r="C15" i="5"/>
  <c r="E15" i="5"/>
  <c r="F15" i="5"/>
  <c r="H15" i="5"/>
  <c r="I15" i="5"/>
  <c r="K15" i="5"/>
  <c r="A16" i="5"/>
  <c r="B16" i="5"/>
  <c r="C16" i="5"/>
  <c r="E16" i="5"/>
  <c r="F16" i="5"/>
  <c r="G16" i="5"/>
  <c r="H16" i="5"/>
  <c r="I16" i="5"/>
  <c r="K16" i="5"/>
  <c r="A17" i="5"/>
  <c r="B17" i="5"/>
  <c r="C17" i="5"/>
  <c r="E17" i="5"/>
  <c r="F17" i="5"/>
  <c r="G17" i="5"/>
  <c r="H17" i="5"/>
  <c r="I17" i="5"/>
  <c r="K17" i="5"/>
  <c r="A18" i="5"/>
  <c r="B18" i="5"/>
  <c r="C18" i="5"/>
  <c r="E18" i="5"/>
  <c r="F18" i="5"/>
  <c r="G18" i="5"/>
  <c r="H18" i="5"/>
  <c r="I18" i="5"/>
  <c r="K18" i="5"/>
  <c r="A19" i="5"/>
  <c r="B19" i="5"/>
  <c r="C19" i="5"/>
  <c r="E19" i="5"/>
  <c r="F19" i="5"/>
  <c r="G19" i="5"/>
  <c r="H19" i="5"/>
  <c r="I19" i="5"/>
  <c r="K19" i="5"/>
  <c r="A20" i="5"/>
  <c r="B20" i="5"/>
  <c r="C20" i="5"/>
  <c r="E20" i="5"/>
  <c r="F20" i="5"/>
  <c r="H20" i="5"/>
  <c r="I20" i="5"/>
  <c r="K20" i="5"/>
  <c r="A21" i="5"/>
  <c r="B21" i="5"/>
  <c r="C21" i="5"/>
  <c r="E21" i="5"/>
  <c r="F21" i="5"/>
  <c r="H21" i="5"/>
  <c r="I21" i="5"/>
  <c r="K21" i="5"/>
  <c r="A22" i="5"/>
  <c r="B22" i="5"/>
  <c r="C22" i="5"/>
  <c r="E22" i="5"/>
  <c r="F22" i="5"/>
  <c r="G22" i="5"/>
  <c r="H22" i="5"/>
  <c r="I22" i="5"/>
  <c r="K22" i="5"/>
  <c r="A23" i="5"/>
  <c r="B23" i="5"/>
  <c r="C23" i="5"/>
  <c r="E23" i="5"/>
  <c r="F23" i="5"/>
  <c r="G23" i="5"/>
  <c r="H23" i="5"/>
  <c r="I23" i="5"/>
  <c r="K23" i="5"/>
  <c r="A24" i="5"/>
  <c r="B24" i="5"/>
  <c r="C24" i="5"/>
  <c r="E24" i="5"/>
  <c r="F24" i="5"/>
  <c r="G24" i="5"/>
  <c r="H24" i="5"/>
  <c r="I24" i="5"/>
  <c r="K24" i="5"/>
  <c r="A25" i="5"/>
  <c r="B25" i="5"/>
  <c r="C25" i="5"/>
  <c r="E25" i="5"/>
  <c r="F25" i="5"/>
  <c r="G25" i="5"/>
  <c r="H25" i="5"/>
  <c r="I25" i="5"/>
  <c r="K25" i="5"/>
  <c r="A26" i="5"/>
  <c r="B26" i="5"/>
  <c r="C26" i="5"/>
  <c r="E26" i="5"/>
  <c r="F26" i="5"/>
  <c r="G26" i="5"/>
  <c r="H26" i="5"/>
  <c r="I26" i="5"/>
  <c r="K26" i="5"/>
  <c r="A27" i="5"/>
  <c r="B27" i="5"/>
  <c r="C27" i="5"/>
  <c r="E27" i="5"/>
  <c r="F27" i="5"/>
  <c r="G27" i="5"/>
  <c r="H27" i="5"/>
  <c r="I27" i="5"/>
  <c r="K27" i="5"/>
  <c r="A28" i="5"/>
  <c r="B28" i="5"/>
  <c r="C28" i="5"/>
  <c r="E28" i="5"/>
  <c r="F28" i="5"/>
  <c r="G28" i="5"/>
  <c r="H28" i="5"/>
  <c r="I28" i="5"/>
  <c r="K28" i="5"/>
  <c r="A29" i="5"/>
  <c r="B29" i="5"/>
  <c r="C29" i="5"/>
  <c r="E29" i="5"/>
  <c r="F29" i="5"/>
  <c r="G29" i="5"/>
  <c r="H29" i="5"/>
  <c r="I29" i="5"/>
  <c r="K29" i="5"/>
  <c r="A30" i="5"/>
  <c r="B30" i="5"/>
  <c r="C30" i="5"/>
  <c r="E30" i="5"/>
  <c r="F30" i="5"/>
  <c r="G30" i="5"/>
  <c r="H30" i="5"/>
  <c r="I30" i="5"/>
  <c r="K30" i="5"/>
  <c r="A31" i="5"/>
  <c r="B31" i="5"/>
  <c r="C31" i="5"/>
  <c r="E31" i="5"/>
  <c r="F31" i="5"/>
  <c r="G31" i="5"/>
  <c r="H31" i="5"/>
  <c r="I31" i="5"/>
  <c r="K31" i="5"/>
  <c r="A32" i="5"/>
  <c r="B32" i="5"/>
  <c r="C32" i="5"/>
  <c r="E32" i="5"/>
  <c r="F32" i="5"/>
  <c r="G32" i="5"/>
  <c r="H32" i="5"/>
  <c r="I32" i="5"/>
  <c r="K32" i="5"/>
  <c r="A33" i="5"/>
  <c r="B33" i="5"/>
  <c r="C33" i="5"/>
  <c r="E33" i="5"/>
  <c r="F33" i="5"/>
  <c r="G33" i="5"/>
  <c r="H33" i="5"/>
  <c r="I33" i="5"/>
  <c r="K33" i="5"/>
  <c r="A34" i="5"/>
  <c r="B34" i="5"/>
  <c r="C34" i="5"/>
  <c r="E34" i="5"/>
  <c r="F34" i="5"/>
  <c r="G34" i="5"/>
  <c r="H34" i="5"/>
  <c r="I34" i="5"/>
  <c r="K34" i="5"/>
  <c r="A35" i="5"/>
  <c r="B35" i="5"/>
  <c r="C35" i="5"/>
  <c r="E35" i="5"/>
  <c r="F35" i="5"/>
  <c r="G35" i="5"/>
  <c r="H35" i="5"/>
  <c r="I35" i="5"/>
  <c r="K35" i="5"/>
  <c r="A36" i="5"/>
  <c r="B36" i="5"/>
  <c r="C36" i="5"/>
  <c r="E36" i="5"/>
  <c r="F36" i="5"/>
  <c r="G36" i="5"/>
  <c r="H36" i="5"/>
  <c r="I36" i="5"/>
  <c r="K36" i="5"/>
  <c r="A37" i="5"/>
  <c r="B37" i="5"/>
  <c r="C37" i="5"/>
  <c r="E37" i="5"/>
  <c r="F37" i="5"/>
  <c r="G37" i="5"/>
  <c r="H37" i="5"/>
  <c r="I37" i="5"/>
  <c r="K37" i="5"/>
  <c r="A38" i="5"/>
  <c r="B38" i="5"/>
  <c r="C38" i="5"/>
  <c r="E38" i="5"/>
  <c r="F38" i="5"/>
  <c r="G38" i="5"/>
  <c r="H38" i="5"/>
  <c r="I38" i="5"/>
  <c r="K38" i="5"/>
  <c r="A39" i="5"/>
  <c r="B39" i="5"/>
  <c r="C39" i="5"/>
  <c r="E39" i="5"/>
  <c r="F39" i="5"/>
  <c r="G39" i="5"/>
  <c r="H39" i="5"/>
  <c r="I39" i="5"/>
  <c r="K39" i="5"/>
  <c r="A40" i="5"/>
  <c r="B40" i="5"/>
  <c r="C40" i="5"/>
  <c r="E40" i="5"/>
  <c r="F40" i="5"/>
  <c r="G40" i="5"/>
  <c r="H40" i="5"/>
  <c r="I40" i="5"/>
  <c r="K40" i="5"/>
  <c r="A41" i="5"/>
  <c r="B41" i="5"/>
  <c r="C41" i="5"/>
  <c r="E41" i="5"/>
  <c r="F41" i="5"/>
  <c r="G41" i="5"/>
  <c r="H41" i="5"/>
  <c r="I41" i="5"/>
  <c r="K41" i="5"/>
  <c r="A42" i="5"/>
  <c r="B42" i="5"/>
  <c r="C42" i="5"/>
  <c r="E42" i="5"/>
  <c r="F42" i="5"/>
  <c r="G42" i="5"/>
  <c r="H42" i="5"/>
  <c r="I42" i="5"/>
  <c r="K42" i="5"/>
  <c r="A43" i="5"/>
  <c r="B43" i="5"/>
  <c r="C43" i="5"/>
  <c r="E43" i="5"/>
  <c r="F43" i="5"/>
  <c r="G43" i="5"/>
  <c r="H43" i="5"/>
  <c r="I43" i="5"/>
  <c r="K43" i="5"/>
  <c r="A44" i="5"/>
  <c r="B44" i="5"/>
  <c r="C44" i="5"/>
  <c r="E44" i="5"/>
  <c r="F44" i="5"/>
  <c r="G44" i="5"/>
  <c r="H44" i="5"/>
  <c r="I44" i="5"/>
  <c r="K44" i="5"/>
  <c r="A45" i="5"/>
  <c r="B45" i="5"/>
  <c r="C45" i="5"/>
  <c r="E45" i="5"/>
  <c r="F45" i="5"/>
  <c r="G45" i="5"/>
  <c r="H45" i="5"/>
  <c r="I45" i="5"/>
  <c r="K45" i="5"/>
  <c r="A47" i="5"/>
  <c r="B47" i="5"/>
  <c r="C47" i="5"/>
  <c r="E47" i="5"/>
  <c r="F47" i="5"/>
  <c r="G47" i="5"/>
  <c r="H47" i="5"/>
  <c r="I47" i="5"/>
  <c r="K47" i="5"/>
  <c r="A48" i="5"/>
  <c r="B48" i="5"/>
  <c r="C48" i="5"/>
  <c r="E48" i="5"/>
  <c r="F48" i="5"/>
  <c r="G48" i="5"/>
  <c r="H48" i="5"/>
  <c r="I48" i="5"/>
  <c r="K48" i="5"/>
  <c r="A49" i="5"/>
  <c r="B49" i="5"/>
  <c r="C49" i="5"/>
  <c r="E49" i="5"/>
  <c r="F49" i="5"/>
  <c r="G49" i="5"/>
  <c r="H49" i="5"/>
  <c r="I49" i="5"/>
  <c r="K49" i="5"/>
  <c r="A50" i="5"/>
  <c r="B50" i="5"/>
  <c r="C50" i="5"/>
  <c r="E50" i="5"/>
  <c r="F50" i="5"/>
  <c r="G50" i="5"/>
  <c r="H50" i="5"/>
  <c r="I50" i="5"/>
  <c r="K50" i="5"/>
  <c r="A51" i="5"/>
  <c r="A52" i="5"/>
  <c r="C52" i="5"/>
  <c r="E52" i="5"/>
  <c r="F52" i="5"/>
  <c r="G52" i="5"/>
  <c r="H52" i="5"/>
  <c r="I52" i="5"/>
  <c r="K52" i="5"/>
  <c r="A53" i="5"/>
  <c r="B53" i="5"/>
  <c r="C53" i="5"/>
  <c r="E53" i="5"/>
  <c r="F53" i="5"/>
  <c r="G53" i="5"/>
  <c r="H53" i="5"/>
  <c r="I53" i="5"/>
  <c r="K53" i="5"/>
  <c r="A54" i="5"/>
  <c r="B54" i="5"/>
  <c r="C54" i="5"/>
  <c r="E54" i="5"/>
  <c r="F54" i="5"/>
  <c r="G54" i="5"/>
  <c r="H54" i="5"/>
  <c r="I54" i="5"/>
  <c r="K54" i="5"/>
  <c r="A55" i="5"/>
  <c r="B55" i="5"/>
  <c r="C55" i="5"/>
  <c r="E55" i="5"/>
  <c r="F55" i="5"/>
  <c r="G55" i="5"/>
  <c r="H55" i="5"/>
  <c r="I55" i="5"/>
  <c r="K55" i="5"/>
  <c r="A56" i="5"/>
  <c r="B56" i="5"/>
  <c r="C56" i="5"/>
  <c r="E56" i="5"/>
  <c r="F56" i="5"/>
  <c r="G56" i="5"/>
  <c r="H56" i="5"/>
  <c r="I56" i="5"/>
  <c r="K56" i="5"/>
  <c r="A57" i="5"/>
  <c r="B57" i="5"/>
  <c r="C57" i="5"/>
  <c r="E57" i="5"/>
  <c r="F57" i="5"/>
  <c r="G57" i="5"/>
  <c r="H57" i="5"/>
  <c r="I57" i="5"/>
  <c r="K57" i="5"/>
  <c r="A58" i="5"/>
  <c r="B58" i="5"/>
  <c r="C58" i="5"/>
  <c r="E58" i="5"/>
  <c r="F58" i="5"/>
  <c r="G58" i="5"/>
  <c r="H58" i="5"/>
  <c r="I58" i="5"/>
  <c r="K58" i="5"/>
  <c r="A59" i="5"/>
  <c r="B59" i="5"/>
  <c r="C59" i="5"/>
  <c r="E59" i="5"/>
  <c r="F59" i="5"/>
  <c r="G59" i="5"/>
  <c r="H59" i="5"/>
  <c r="I59" i="5"/>
  <c r="K59" i="5"/>
  <c r="A60" i="5"/>
  <c r="B60" i="5"/>
  <c r="C60" i="5"/>
  <c r="E60" i="5"/>
  <c r="F60" i="5"/>
  <c r="G60" i="5"/>
  <c r="H60" i="5"/>
  <c r="I60" i="5"/>
  <c r="K60" i="5"/>
  <c r="A61" i="5"/>
  <c r="B61" i="5"/>
  <c r="C61" i="5"/>
  <c r="E61" i="5"/>
  <c r="F61" i="5"/>
  <c r="G61" i="5"/>
  <c r="H61" i="5"/>
  <c r="I61" i="5"/>
  <c r="K61" i="5"/>
  <c r="A62" i="5"/>
  <c r="B62" i="5"/>
  <c r="C62" i="5"/>
  <c r="E62" i="5"/>
  <c r="F62" i="5"/>
  <c r="G62" i="5"/>
  <c r="H62" i="5"/>
  <c r="I62" i="5"/>
  <c r="K62" i="5"/>
  <c r="A63" i="5"/>
  <c r="B63" i="5"/>
  <c r="C63" i="5"/>
  <c r="E63" i="5"/>
  <c r="F63" i="5"/>
  <c r="G63" i="5"/>
  <c r="H63" i="5"/>
  <c r="I63" i="5"/>
  <c r="K63" i="5"/>
  <c r="A64" i="5"/>
  <c r="B64" i="5"/>
  <c r="E64" i="5"/>
  <c r="F64" i="5"/>
  <c r="G64" i="5"/>
  <c r="H64" i="5"/>
  <c r="I64" i="5"/>
  <c r="K64" i="5"/>
  <c r="A65" i="5"/>
  <c r="B65" i="5"/>
  <c r="C65" i="5"/>
  <c r="E65" i="5"/>
  <c r="F65" i="5"/>
  <c r="G65" i="5"/>
  <c r="H65" i="5"/>
  <c r="I65" i="5"/>
  <c r="K65" i="5"/>
  <c r="A66" i="5"/>
  <c r="B66" i="5"/>
  <c r="C66" i="5"/>
  <c r="E66" i="5"/>
  <c r="F66" i="5"/>
  <c r="G66" i="5"/>
  <c r="H66" i="5"/>
  <c r="I66" i="5"/>
  <c r="K66" i="5"/>
  <c r="A67" i="5"/>
  <c r="B67" i="5"/>
  <c r="C67" i="5"/>
  <c r="E67" i="5"/>
  <c r="F67" i="5"/>
  <c r="G67" i="5"/>
  <c r="H67" i="5"/>
  <c r="I67" i="5"/>
  <c r="K67" i="5"/>
  <c r="A68" i="5"/>
  <c r="B68" i="5"/>
  <c r="C68" i="5"/>
  <c r="E68" i="5"/>
  <c r="F68" i="5"/>
  <c r="G68" i="5"/>
  <c r="H68" i="5"/>
  <c r="I68" i="5"/>
  <c r="K68" i="5"/>
  <c r="A69" i="5"/>
  <c r="B69" i="5"/>
  <c r="C69" i="5"/>
  <c r="E69" i="5"/>
  <c r="F69" i="5"/>
  <c r="G69" i="5"/>
  <c r="H69" i="5"/>
  <c r="I69" i="5"/>
  <c r="K69" i="5"/>
  <c r="A70" i="5"/>
  <c r="B70" i="5"/>
  <c r="C70" i="5"/>
  <c r="E70" i="5"/>
  <c r="F70" i="5"/>
  <c r="G70" i="5"/>
  <c r="H70" i="5"/>
  <c r="I70" i="5"/>
  <c r="K70" i="5"/>
  <c r="A71" i="5"/>
  <c r="B71" i="5"/>
  <c r="C71" i="5"/>
  <c r="E71" i="5"/>
  <c r="F71" i="5"/>
  <c r="G71" i="5"/>
  <c r="H71" i="5"/>
  <c r="I71" i="5"/>
  <c r="K71" i="5"/>
  <c r="A72" i="5"/>
  <c r="B72" i="5"/>
  <c r="C72" i="5"/>
  <c r="E72" i="5"/>
  <c r="F72" i="5"/>
  <c r="G72" i="5"/>
  <c r="H72" i="5"/>
  <c r="I72" i="5"/>
  <c r="K72" i="5"/>
  <c r="A73" i="5"/>
  <c r="B73" i="5"/>
  <c r="C73" i="5"/>
  <c r="E73" i="5"/>
  <c r="F73" i="5"/>
  <c r="H73" i="5"/>
  <c r="I73" i="5"/>
  <c r="K73" i="5"/>
  <c r="A74" i="5"/>
  <c r="B74" i="5"/>
  <c r="C74" i="5"/>
  <c r="E74" i="5"/>
  <c r="F74" i="5"/>
  <c r="G74" i="5"/>
  <c r="H74" i="5"/>
  <c r="I74" i="5"/>
  <c r="K74" i="5"/>
  <c r="A75" i="5"/>
  <c r="B75" i="5"/>
  <c r="C75" i="5"/>
  <c r="E75" i="5"/>
  <c r="F75" i="5"/>
  <c r="G75" i="5"/>
  <c r="H75" i="5"/>
  <c r="I75" i="5"/>
  <c r="K75" i="5"/>
  <c r="A76" i="5"/>
  <c r="B76" i="5"/>
  <c r="C76" i="5"/>
  <c r="E76" i="5"/>
  <c r="F76" i="5"/>
  <c r="G76" i="5"/>
  <c r="H76" i="5"/>
  <c r="I76" i="5"/>
  <c r="K76" i="5"/>
  <c r="A77" i="5"/>
  <c r="B77" i="5"/>
  <c r="C77" i="5"/>
  <c r="E77" i="5"/>
  <c r="F77" i="5"/>
  <c r="G77" i="5"/>
  <c r="H77" i="5"/>
  <c r="I77" i="5"/>
  <c r="K77" i="5"/>
  <c r="A78" i="5"/>
  <c r="B78" i="5"/>
  <c r="C78" i="5"/>
  <c r="E78" i="5"/>
  <c r="F78" i="5"/>
  <c r="G78" i="5"/>
  <c r="H78" i="5"/>
  <c r="I78" i="5"/>
  <c r="K78" i="5"/>
  <c r="A79" i="5"/>
  <c r="B79" i="5"/>
  <c r="C79" i="5"/>
  <c r="E79" i="5"/>
  <c r="F79" i="5"/>
  <c r="G79" i="5"/>
  <c r="H79" i="5"/>
  <c r="I79" i="5"/>
  <c r="K79" i="5"/>
  <c r="A80" i="5"/>
  <c r="B80" i="5"/>
  <c r="C80" i="5"/>
  <c r="E80" i="5"/>
  <c r="F80" i="5"/>
  <c r="G80" i="5"/>
  <c r="H80" i="5"/>
  <c r="I80" i="5"/>
  <c r="K80" i="5"/>
  <c r="A81" i="5"/>
  <c r="A82" i="5"/>
  <c r="B82" i="5"/>
  <c r="C82" i="5"/>
  <c r="E82" i="5"/>
  <c r="F82" i="5"/>
  <c r="G82" i="5"/>
  <c r="H82" i="5"/>
  <c r="I82" i="5"/>
  <c r="K82" i="5"/>
  <c r="A83" i="5"/>
  <c r="B83" i="5"/>
  <c r="C83" i="5"/>
  <c r="E83" i="5"/>
  <c r="F83" i="5"/>
  <c r="G83" i="5"/>
  <c r="H83" i="5"/>
  <c r="I83" i="5"/>
  <c r="K83" i="5"/>
  <c r="A84" i="5"/>
  <c r="B84" i="5"/>
  <c r="C84" i="5"/>
  <c r="E84" i="5"/>
  <c r="F84" i="5"/>
  <c r="G84" i="5"/>
  <c r="H84" i="5"/>
  <c r="I84" i="5"/>
  <c r="K84" i="5"/>
  <c r="A85" i="5"/>
  <c r="B85" i="5"/>
  <c r="C85" i="5"/>
  <c r="E85" i="5"/>
  <c r="F85" i="5"/>
  <c r="G85" i="5"/>
  <c r="H85" i="5"/>
  <c r="I85" i="5"/>
  <c r="K85" i="5"/>
  <c r="A86" i="5"/>
  <c r="B86" i="5"/>
  <c r="C86" i="5"/>
  <c r="E86" i="5"/>
  <c r="F86" i="5"/>
  <c r="G86" i="5"/>
  <c r="H86" i="5"/>
  <c r="I86" i="5"/>
  <c r="K86" i="5"/>
  <c r="A87" i="5"/>
  <c r="B87" i="5"/>
  <c r="C87" i="5"/>
  <c r="E87" i="5"/>
  <c r="F87" i="5"/>
  <c r="G87" i="5"/>
  <c r="H87" i="5"/>
  <c r="I87" i="5"/>
  <c r="K87" i="5"/>
  <c r="A88" i="5"/>
  <c r="B88" i="5"/>
  <c r="C88" i="5"/>
  <c r="E88" i="5"/>
  <c r="F88" i="5"/>
  <c r="G88" i="5"/>
  <c r="H88" i="5"/>
  <c r="I88" i="5"/>
  <c r="K88" i="5"/>
  <c r="A89" i="5"/>
  <c r="B89" i="5"/>
  <c r="C89" i="5"/>
  <c r="E89" i="5"/>
  <c r="F89" i="5"/>
  <c r="G89" i="5"/>
  <c r="H89" i="5"/>
  <c r="I89" i="5"/>
  <c r="K89" i="5"/>
  <c r="A90" i="5"/>
  <c r="B90" i="5"/>
  <c r="C90" i="5"/>
  <c r="E90" i="5"/>
  <c r="F90" i="5"/>
  <c r="G90" i="5"/>
  <c r="H90" i="5"/>
  <c r="I90" i="5"/>
  <c r="K90" i="5"/>
  <c r="A91" i="5"/>
  <c r="B91" i="5"/>
  <c r="C91" i="5"/>
  <c r="E91" i="5"/>
  <c r="F91" i="5"/>
  <c r="G91" i="5"/>
  <c r="H91" i="5"/>
  <c r="I91" i="5"/>
  <c r="K91" i="5"/>
  <c r="A92" i="5"/>
  <c r="B92" i="5"/>
  <c r="C92" i="5"/>
  <c r="E92" i="5"/>
  <c r="F92" i="5"/>
  <c r="G92" i="5"/>
  <c r="H92" i="5"/>
  <c r="I92" i="5"/>
  <c r="K92" i="5"/>
  <c r="A93" i="5"/>
  <c r="B93" i="5"/>
  <c r="C93" i="5"/>
  <c r="E93" i="5"/>
  <c r="F93" i="5"/>
  <c r="G93" i="5"/>
  <c r="H93" i="5"/>
  <c r="I93" i="5"/>
  <c r="K93" i="5"/>
  <c r="A94" i="5"/>
  <c r="B94" i="5"/>
  <c r="C94" i="5"/>
  <c r="E94" i="5"/>
  <c r="F94" i="5"/>
  <c r="G94" i="5"/>
  <c r="H94" i="5"/>
  <c r="I94" i="5"/>
  <c r="K94" i="5"/>
  <c r="A95" i="5"/>
  <c r="B95" i="5"/>
  <c r="C95" i="5"/>
  <c r="E95" i="5"/>
  <c r="F95" i="5"/>
  <c r="G95" i="5"/>
  <c r="H95" i="5"/>
  <c r="I95" i="5"/>
  <c r="K95" i="5"/>
  <c r="A96" i="5"/>
  <c r="B96" i="5"/>
  <c r="C96" i="5"/>
  <c r="E96" i="5"/>
  <c r="F96" i="5"/>
  <c r="G96" i="5"/>
  <c r="H96" i="5"/>
  <c r="I96" i="5"/>
  <c r="K96" i="5"/>
  <c r="A97" i="5"/>
  <c r="B97" i="5"/>
  <c r="C97" i="5"/>
  <c r="E97" i="5"/>
  <c r="F97" i="5"/>
  <c r="G97" i="5"/>
  <c r="H97" i="5"/>
  <c r="I97" i="5"/>
  <c r="K97" i="5"/>
  <c r="A98" i="5"/>
  <c r="B98" i="5"/>
  <c r="C98" i="5"/>
  <c r="E98" i="5"/>
  <c r="F98" i="5"/>
  <c r="G98" i="5"/>
  <c r="H98" i="5"/>
  <c r="I98" i="5"/>
  <c r="K98" i="5"/>
  <c r="A99" i="5"/>
  <c r="B99" i="5"/>
  <c r="C99" i="5"/>
  <c r="E99" i="5"/>
  <c r="F99" i="5"/>
  <c r="G99" i="5"/>
  <c r="H99" i="5"/>
  <c r="I99" i="5"/>
  <c r="K99" i="5"/>
  <c r="A100" i="5"/>
  <c r="B100" i="5"/>
  <c r="C100" i="5"/>
  <c r="E100" i="5"/>
  <c r="F100" i="5"/>
  <c r="G100" i="5"/>
  <c r="H100" i="5"/>
  <c r="I100" i="5"/>
  <c r="K100" i="5"/>
  <c r="A101" i="5"/>
  <c r="B101" i="5"/>
  <c r="C101" i="5"/>
  <c r="E101" i="5"/>
  <c r="F101" i="5"/>
  <c r="G101" i="5"/>
  <c r="H101" i="5"/>
  <c r="I101" i="5"/>
  <c r="K101" i="5"/>
  <c r="A102" i="5"/>
  <c r="B102" i="5"/>
  <c r="C102" i="5"/>
  <c r="E102" i="5"/>
  <c r="F102" i="5"/>
  <c r="G102" i="5"/>
  <c r="H102" i="5"/>
  <c r="I102" i="5"/>
  <c r="K102" i="5"/>
  <c r="A103" i="5"/>
  <c r="B103" i="5"/>
  <c r="C103" i="5"/>
  <c r="E103" i="5"/>
  <c r="F103" i="5"/>
  <c r="G103" i="5"/>
  <c r="H103" i="5"/>
  <c r="I103" i="5"/>
  <c r="K103" i="5"/>
  <c r="A104" i="5"/>
  <c r="B104" i="5"/>
  <c r="C104" i="5"/>
  <c r="E104" i="5"/>
  <c r="F104" i="5"/>
  <c r="G104" i="5"/>
  <c r="H104" i="5"/>
  <c r="I104" i="5"/>
  <c r="K104" i="5"/>
  <c r="A105" i="5"/>
  <c r="B105" i="5"/>
  <c r="C105" i="5"/>
  <c r="E105" i="5"/>
  <c r="F105" i="5"/>
  <c r="G105" i="5"/>
  <c r="H105" i="5"/>
  <c r="I105" i="5"/>
  <c r="K105" i="5"/>
  <c r="A106" i="5"/>
  <c r="B106" i="5"/>
  <c r="C106" i="5"/>
  <c r="E106" i="5"/>
  <c r="F106" i="5"/>
  <c r="H106" i="5"/>
  <c r="I106" i="5"/>
  <c r="K106" i="5"/>
  <c r="A107" i="5"/>
  <c r="B107" i="5"/>
  <c r="C107" i="5"/>
  <c r="E107" i="5"/>
  <c r="F107" i="5"/>
  <c r="G107" i="5"/>
  <c r="H107" i="5"/>
  <c r="I107" i="5"/>
  <c r="K107" i="5"/>
  <c r="A108" i="5"/>
  <c r="B108" i="5"/>
  <c r="C108" i="5"/>
  <c r="E108" i="5"/>
  <c r="F108" i="5"/>
  <c r="G108" i="5"/>
  <c r="H108" i="5"/>
  <c r="I108" i="5"/>
  <c r="K108" i="5"/>
  <c r="A109" i="5"/>
  <c r="B109" i="5"/>
  <c r="C109" i="5"/>
  <c r="E109" i="5"/>
  <c r="F109" i="5"/>
  <c r="G109" i="5"/>
  <c r="H109" i="5"/>
  <c r="I109" i="5"/>
  <c r="K109" i="5"/>
  <c r="A110" i="5"/>
  <c r="B110" i="5"/>
  <c r="C110" i="5"/>
  <c r="E110" i="5"/>
  <c r="F110" i="5"/>
  <c r="G110" i="5"/>
  <c r="H110" i="5"/>
  <c r="I110" i="5"/>
  <c r="K110" i="5"/>
  <c r="A111" i="5"/>
  <c r="B111" i="5"/>
  <c r="C111" i="5"/>
  <c r="E111" i="5"/>
  <c r="F111" i="5"/>
  <c r="G111" i="5"/>
  <c r="H111" i="5"/>
  <c r="I111" i="5"/>
  <c r="K111" i="5"/>
  <c r="A112" i="5"/>
  <c r="B112" i="5"/>
  <c r="C112" i="5"/>
  <c r="E112" i="5"/>
  <c r="F112" i="5"/>
  <c r="G112" i="5"/>
  <c r="H112" i="5"/>
  <c r="I112" i="5"/>
  <c r="K112" i="5"/>
  <c r="A113" i="5"/>
  <c r="B113" i="5"/>
  <c r="C113" i="5"/>
  <c r="E113" i="5"/>
  <c r="F113" i="5"/>
  <c r="G113" i="5"/>
  <c r="H113" i="5"/>
  <c r="I113" i="5"/>
  <c r="K113" i="5"/>
  <c r="A114" i="5"/>
  <c r="B114" i="5"/>
  <c r="C114" i="5"/>
  <c r="E114" i="5"/>
  <c r="F114" i="5"/>
  <c r="G114" i="5"/>
  <c r="H114" i="5"/>
  <c r="I114" i="5"/>
  <c r="K114" i="5"/>
  <c r="A115" i="5"/>
  <c r="B115" i="5"/>
  <c r="C115" i="5"/>
  <c r="E115" i="5"/>
  <c r="F115" i="5"/>
  <c r="G115" i="5"/>
  <c r="H115" i="5"/>
  <c r="I115" i="5"/>
  <c r="K115" i="5"/>
  <c r="A116" i="5"/>
  <c r="B116" i="5"/>
  <c r="C116" i="5"/>
  <c r="E116" i="5"/>
  <c r="F116" i="5"/>
  <c r="G116" i="5"/>
  <c r="H116" i="5"/>
  <c r="I116" i="5"/>
  <c r="K116" i="5"/>
  <c r="A117" i="5"/>
  <c r="B117" i="5"/>
  <c r="C117" i="5"/>
  <c r="E117" i="5"/>
  <c r="F117" i="5"/>
  <c r="G117" i="5"/>
  <c r="H117" i="5"/>
  <c r="I117" i="5"/>
  <c r="K117" i="5"/>
  <c r="A118" i="5"/>
  <c r="B118" i="5"/>
  <c r="C118" i="5"/>
  <c r="E118" i="5"/>
  <c r="F118" i="5"/>
  <c r="G118" i="5"/>
  <c r="H118" i="5"/>
  <c r="I118" i="5"/>
  <c r="K118" i="5"/>
  <c r="A119" i="5"/>
  <c r="B119" i="5"/>
  <c r="C119" i="5"/>
  <c r="E119" i="5"/>
  <c r="F119" i="5"/>
  <c r="G119" i="5"/>
  <c r="H119" i="5"/>
  <c r="I119" i="5"/>
  <c r="K119" i="5"/>
  <c r="A120" i="5"/>
  <c r="B120" i="5"/>
  <c r="C120" i="5"/>
  <c r="E120" i="5"/>
  <c r="F120" i="5"/>
  <c r="G120" i="5"/>
  <c r="H120" i="5"/>
  <c r="I120" i="5"/>
  <c r="K120" i="5"/>
  <c r="A121" i="5"/>
  <c r="B121" i="5"/>
  <c r="C121" i="5"/>
  <c r="E121" i="5"/>
  <c r="F121" i="5"/>
  <c r="G121" i="5"/>
  <c r="H121" i="5"/>
  <c r="I121" i="5"/>
  <c r="K121" i="5"/>
  <c r="A122" i="5"/>
  <c r="B122" i="5"/>
  <c r="C122" i="5"/>
  <c r="E122" i="5"/>
  <c r="F122" i="5"/>
  <c r="G122" i="5"/>
  <c r="H122" i="5"/>
  <c r="I122" i="5"/>
  <c r="K122" i="5"/>
  <c r="A123" i="5"/>
  <c r="B123" i="5"/>
  <c r="C123" i="5"/>
  <c r="E123" i="5"/>
  <c r="F123" i="5"/>
  <c r="G123" i="5"/>
  <c r="H123" i="5"/>
  <c r="I123" i="5"/>
  <c r="K123" i="5"/>
  <c r="A124" i="5"/>
  <c r="B124" i="5"/>
  <c r="C124" i="5"/>
  <c r="E124" i="5"/>
  <c r="F124" i="5"/>
  <c r="G124" i="5"/>
  <c r="H124" i="5"/>
  <c r="I124" i="5"/>
  <c r="K124" i="5"/>
  <c r="A125" i="5"/>
  <c r="B125" i="5"/>
  <c r="C125" i="5"/>
  <c r="E125" i="5"/>
  <c r="F125" i="5"/>
  <c r="G125" i="5"/>
  <c r="H125" i="5"/>
  <c r="I125" i="5"/>
  <c r="K125" i="5"/>
  <c r="A126" i="5"/>
  <c r="B126" i="5"/>
  <c r="C126" i="5"/>
  <c r="E126" i="5"/>
  <c r="F126" i="5"/>
  <c r="G126" i="5"/>
  <c r="H126" i="5"/>
  <c r="I126" i="5"/>
  <c r="K126" i="5"/>
  <c r="A127" i="5"/>
  <c r="B127" i="5"/>
  <c r="C127" i="5"/>
  <c r="E127" i="5"/>
  <c r="F127" i="5"/>
  <c r="G127" i="5"/>
  <c r="H127" i="5"/>
  <c r="I127" i="5"/>
  <c r="K127" i="5"/>
  <c r="A128" i="5"/>
  <c r="B128" i="5"/>
  <c r="C128" i="5"/>
  <c r="E128" i="5"/>
  <c r="F128" i="5"/>
  <c r="G128" i="5"/>
  <c r="H128" i="5"/>
  <c r="I128" i="5"/>
  <c r="K128" i="5"/>
  <c r="A129" i="5"/>
  <c r="B129" i="5"/>
  <c r="C129" i="5"/>
  <c r="E129" i="5"/>
  <c r="F129" i="5"/>
  <c r="G129" i="5"/>
  <c r="H129" i="5"/>
  <c r="I129" i="5"/>
  <c r="K129" i="5"/>
  <c r="A130" i="5"/>
  <c r="B130" i="5"/>
  <c r="C130" i="5"/>
  <c r="E130" i="5"/>
  <c r="F130" i="5"/>
  <c r="G130" i="5"/>
  <c r="H130" i="5"/>
  <c r="I130" i="5"/>
  <c r="K130" i="5"/>
  <c r="A131" i="5"/>
  <c r="B131" i="5"/>
  <c r="C131" i="5"/>
  <c r="E131" i="5"/>
  <c r="F131" i="5"/>
  <c r="G131" i="5"/>
  <c r="H131" i="5"/>
  <c r="I131" i="5"/>
  <c r="K131" i="5"/>
  <c r="A132" i="5"/>
  <c r="B132" i="5"/>
  <c r="C132" i="5"/>
  <c r="E132" i="5"/>
  <c r="F132" i="5"/>
  <c r="G132" i="5"/>
  <c r="H132" i="5"/>
  <c r="I132" i="5"/>
  <c r="K132" i="5"/>
  <c r="A133" i="5"/>
  <c r="B133" i="5"/>
  <c r="C133" i="5"/>
  <c r="E133" i="5"/>
  <c r="F133" i="5"/>
  <c r="G133" i="5"/>
  <c r="H133" i="5"/>
  <c r="I133" i="5"/>
  <c r="K133" i="5"/>
  <c r="A134" i="5"/>
  <c r="B134" i="5"/>
  <c r="C134" i="5"/>
  <c r="E134" i="5"/>
  <c r="F134" i="5"/>
  <c r="G134" i="5"/>
  <c r="H134" i="5"/>
  <c r="I134" i="5"/>
  <c r="K134" i="5"/>
  <c r="A135" i="5"/>
  <c r="B135" i="5"/>
  <c r="C135" i="5"/>
  <c r="E135" i="5"/>
  <c r="F135" i="5"/>
  <c r="G135" i="5"/>
  <c r="H135" i="5"/>
  <c r="I135" i="5"/>
  <c r="K135" i="5"/>
  <c r="A136" i="5"/>
  <c r="B136" i="5"/>
  <c r="C136" i="5"/>
  <c r="E136" i="5"/>
  <c r="F136" i="5"/>
  <c r="G136" i="5"/>
  <c r="H136" i="5"/>
  <c r="I136" i="5"/>
  <c r="K136" i="5"/>
  <c r="A137" i="5"/>
  <c r="B137" i="5"/>
  <c r="C137" i="5"/>
  <c r="E137" i="5"/>
  <c r="F137" i="5"/>
  <c r="G137" i="5"/>
  <c r="H137" i="5"/>
  <c r="I137" i="5"/>
  <c r="K137" i="5"/>
  <c r="A138" i="5"/>
  <c r="B138" i="5"/>
  <c r="C138" i="5"/>
  <c r="E138" i="5"/>
  <c r="F138" i="5"/>
  <c r="G138" i="5"/>
  <c r="H138" i="5"/>
  <c r="I138" i="5"/>
  <c r="K138" i="5"/>
  <c r="A139" i="5"/>
  <c r="B139" i="5"/>
  <c r="C139" i="5"/>
  <c r="E139" i="5"/>
  <c r="F139" i="5"/>
  <c r="G139" i="5"/>
  <c r="H139" i="5"/>
  <c r="I139" i="5"/>
  <c r="K139" i="5"/>
  <c r="A140" i="5"/>
  <c r="B140" i="5"/>
  <c r="C140" i="5"/>
  <c r="E140" i="5"/>
  <c r="F140" i="5"/>
  <c r="G140" i="5"/>
  <c r="H140" i="5"/>
  <c r="I140" i="5"/>
  <c r="K140" i="5"/>
  <c r="A141" i="5"/>
  <c r="B141" i="5"/>
  <c r="C141" i="5"/>
  <c r="E141" i="5"/>
  <c r="F141" i="5"/>
  <c r="G141" i="5"/>
  <c r="H141" i="5"/>
  <c r="I141" i="5"/>
  <c r="K141" i="5"/>
  <c r="A142" i="5"/>
  <c r="B142" i="5"/>
  <c r="C142" i="5"/>
  <c r="E142" i="5"/>
  <c r="F142" i="5"/>
  <c r="H142" i="5"/>
  <c r="I142" i="5"/>
  <c r="K142" i="5"/>
  <c r="A143" i="5"/>
  <c r="B143" i="5"/>
  <c r="C143" i="5"/>
  <c r="E143" i="5"/>
  <c r="F143" i="5"/>
  <c r="G143" i="5"/>
  <c r="H143" i="5"/>
  <c r="I143" i="5"/>
  <c r="K143" i="5"/>
  <c r="A144" i="5"/>
  <c r="B144" i="5"/>
  <c r="C144" i="5"/>
  <c r="E144" i="5"/>
  <c r="F144" i="5"/>
  <c r="G144" i="5"/>
  <c r="H144" i="5"/>
  <c r="I144" i="5"/>
  <c r="K144" i="5"/>
  <c r="A145" i="5"/>
  <c r="B145" i="5"/>
  <c r="C145" i="5"/>
  <c r="E145" i="5"/>
  <c r="F145" i="5"/>
  <c r="G145" i="5"/>
  <c r="H145" i="5"/>
  <c r="I145" i="5"/>
  <c r="K145" i="5"/>
  <c r="A146" i="5"/>
  <c r="B146" i="5"/>
  <c r="C146" i="5"/>
  <c r="E146" i="5"/>
  <c r="F146" i="5"/>
  <c r="G146" i="5"/>
  <c r="H146" i="5"/>
  <c r="I146" i="5"/>
  <c r="K146" i="5"/>
  <c r="A147" i="5"/>
  <c r="B147" i="5"/>
  <c r="C147" i="5"/>
  <c r="E147" i="5"/>
  <c r="F147" i="5"/>
  <c r="G147" i="5"/>
  <c r="H147" i="5"/>
  <c r="I147" i="5"/>
  <c r="K147" i="5"/>
  <c r="A148" i="5"/>
  <c r="B148" i="5"/>
  <c r="C148" i="5"/>
  <c r="E148" i="5"/>
  <c r="F148" i="5"/>
  <c r="G148" i="5"/>
  <c r="H148" i="5"/>
  <c r="I148" i="5"/>
  <c r="K148" i="5"/>
  <c r="A149" i="5"/>
  <c r="B149" i="5"/>
  <c r="C149" i="5"/>
  <c r="E149" i="5"/>
  <c r="F149" i="5"/>
  <c r="G149" i="5"/>
  <c r="H149" i="5"/>
  <c r="I149" i="5"/>
  <c r="K149" i="5"/>
  <c r="A150" i="5"/>
  <c r="B150" i="5"/>
  <c r="C150" i="5"/>
  <c r="E150" i="5"/>
  <c r="F150" i="5"/>
  <c r="G150" i="5"/>
  <c r="H150" i="5"/>
  <c r="I150" i="5"/>
  <c r="K150" i="5"/>
  <c r="A151" i="5"/>
  <c r="B151" i="5"/>
  <c r="C151" i="5"/>
  <c r="E151" i="5"/>
  <c r="F151" i="5"/>
  <c r="G151" i="5"/>
  <c r="H151" i="5"/>
  <c r="I151" i="5"/>
  <c r="K151" i="5"/>
  <c r="A152" i="5"/>
  <c r="B152" i="5"/>
  <c r="C152" i="5"/>
  <c r="E152" i="5"/>
  <c r="F152" i="5"/>
  <c r="G152" i="5"/>
  <c r="H152" i="5"/>
  <c r="I152" i="5"/>
  <c r="K152" i="5"/>
  <c r="A153" i="5"/>
  <c r="B153" i="5"/>
  <c r="C153" i="5"/>
  <c r="E153" i="5"/>
  <c r="F153" i="5"/>
  <c r="G153" i="5"/>
  <c r="H153" i="5"/>
  <c r="I153" i="5"/>
  <c r="K153" i="5"/>
  <c r="A154" i="5"/>
  <c r="B154" i="5"/>
  <c r="C154" i="5"/>
  <c r="E154" i="5"/>
  <c r="F154" i="5"/>
  <c r="G154" i="5"/>
  <c r="H154" i="5"/>
  <c r="I154" i="5"/>
  <c r="K154" i="5"/>
  <c r="A155" i="5"/>
  <c r="B155" i="5"/>
  <c r="C155" i="5"/>
  <c r="E155" i="5"/>
  <c r="F155" i="5"/>
  <c r="G155" i="5"/>
  <c r="H155" i="5"/>
  <c r="I155" i="5"/>
  <c r="K155" i="5"/>
  <c r="A156" i="5"/>
  <c r="B156" i="5"/>
  <c r="C156" i="5"/>
  <c r="E156" i="5"/>
  <c r="F156" i="5"/>
  <c r="G156" i="5"/>
  <c r="H156" i="5"/>
  <c r="I156" i="5"/>
  <c r="K156" i="5"/>
  <c r="A157" i="5"/>
  <c r="B157" i="5"/>
  <c r="C157" i="5"/>
  <c r="E157" i="5"/>
  <c r="F157" i="5"/>
  <c r="G157" i="5"/>
  <c r="H157" i="5"/>
  <c r="I157" i="5"/>
  <c r="K157" i="5"/>
  <c r="A158" i="5"/>
  <c r="B158" i="5"/>
  <c r="C158" i="5"/>
  <c r="E158" i="5"/>
  <c r="F158" i="5"/>
  <c r="G158" i="5"/>
  <c r="H158" i="5"/>
  <c r="I158" i="5"/>
  <c r="K158" i="5"/>
  <c r="A159" i="5"/>
  <c r="B159" i="5"/>
  <c r="C159" i="5"/>
  <c r="E159" i="5"/>
  <c r="F159" i="5"/>
  <c r="G159" i="5"/>
  <c r="H159" i="5"/>
  <c r="I159" i="5"/>
  <c r="K159" i="5"/>
  <c r="A160" i="5"/>
  <c r="B160" i="5"/>
  <c r="C160" i="5"/>
  <c r="E160" i="5"/>
  <c r="F160" i="5"/>
  <c r="G160" i="5"/>
  <c r="H160" i="5"/>
  <c r="I160" i="5"/>
  <c r="K160" i="5"/>
  <c r="A161" i="5"/>
  <c r="B161" i="5"/>
  <c r="C161" i="5"/>
  <c r="E161" i="5"/>
  <c r="F161" i="5"/>
  <c r="G161" i="5"/>
  <c r="H161" i="5"/>
  <c r="I161" i="5"/>
  <c r="K161" i="5"/>
  <c r="A162" i="5"/>
  <c r="B162" i="5"/>
  <c r="C162" i="5"/>
  <c r="E162" i="5"/>
  <c r="F162" i="5"/>
  <c r="G162" i="5"/>
  <c r="H162" i="5"/>
  <c r="I162" i="5"/>
  <c r="K162" i="5"/>
  <c r="A163" i="5"/>
  <c r="B163" i="5"/>
  <c r="C163" i="5"/>
  <c r="E163" i="5"/>
  <c r="F163" i="5"/>
  <c r="G163" i="5"/>
  <c r="H163" i="5"/>
  <c r="I163" i="5"/>
  <c r="K163" i="5"/>
  <c r="A164" i="5"/>
  <c r="B164" i="5"/>
  <c r="C164" i="5"/>
  <c r="E164" i="5"/>
  <c r="F164" i="5"/>
  <c r="G164" i="5"/>
  <c r="H164" i="5"/>
  <c r="I164" i="5"/>
  <c r="K164" i="5"/>
  <c r="A165" i="5"/>
  <c r="B165" i="5"/>
  <c r="C165" i="5"/>
  <c r="E165" i="5"/>
  <c r="F165" i="5"/>
  <c r="G165" i="5"/>
  <c r="H165" i="5"/>
  <c r="I165" i="5"/>
  <c r="K165" i="5"/>
  <c r="A166" i="5"/>
  <c r="B166" i="5"/>
  <c r="C166" i="5"/>
  <c r="E166" i="5"/>
  <c r="F166" i="5"/>
  <c r="G166" i="5"/>
  <c r="H166" i="5"/>
  <c r="I166" i="5"/>
  <c r="K166" i="5"/>
  <c r="A167" i="5"/>
  <c r="B167" i="5"/>
  <c r="C167" i="5"/>
  <c r="E167" i="5"/>
  <c r="F167" i="5"/>
  <c r="G167" i="5"/>
  <c r="H167" i="5"/>
  <c r="I167" i="5"/>
  <c r="K167" i="5"/>
  <c r="A168" i="5"/>
  <c r="B168" i="5"/>
  <c r="C168" i="5"/>
  <c r="E168" i="5"/>
  <c r="F168" i="5"/>
  <c r="G168" i="5"/>
  <c r="H168" i="5"/>
  <c r="I168" i="5"/>
  <c r="K168" i="5"/>
  <c r="A169" i="5"/>
  <c r="B169" i="5"/>
  <c r="C169" i="5"/>
  <c r="E169" i="5"/>
  <c r="F169" i="5"/>
  <c r="G169" i="5"/>
  <c r="H169" i="5"/>
  <c r="I169" i="5"/>
  <c r="K169" i="5"/>
  <c r="A170" i="5"/>
  <c r="B170" i="5"/>
  <c r="C170" i="5"/>
  <c r="E170" i="5"/>
  <c r="F170" i="5"/>
  <c r="G170" i="5"/>
  <c r="H170" i="5"/>
  <c r="I170" i="5"/>
  <c r="K170" i="5"/>
  <c r="A171" i="5"/>
  <c r="B171" i="5"/>
  <c r="C171" i="5"/>
  <c r="E171" i="5"/>
  <c r="F171" i="5"/>
  <c r="G171" i="5"/>
  <c r="H171" i="5"/>
  <c r="I171" i="5"/>
  <c r="K171" i="5"/>
  <c r="A172" i="5"/>
  <c r="B172" i="5"/>
  <c r="C172" i="5"/>
  <c r="E172" i="5"/>
  <c r="F172" i="5"/>
  <c r="G172" i="5"/>
  <c r="H172" i="5"/>
  <c r="I172" i="5"/>
  <c r="K172" i="5"/>
  <c r="A173" i="5"/>
  <c r="B173" i="5"/>
  <c r="C173" i="5"/>
  <c r="E173" i="5"/>
  <c r="F173" i="5"/>
  <c r="G173" i="5"/>
  <c r="H173" i="5"/>
  <c r="I173" i="5"/>
  <c r="K173" i="5"/>
  <c r="A174" i="5"/>
  <c r="B174" i="5"/>
  <c r="C174" i="5"/>
  <c r="E174" i="5"/>
  <c r="F174" i="5"/>
  <c r="G174" i="5"/>
  <c r="H174" i="5"/>
  <c r="I174" i="5"/>
  <c r="K174" i="5"/>
  <c r="A175" i="5"/>
  <c r="B175" i="5"/>
  <c r="C175" i="5"/>
  <c r="E175" i="5"/>
  <c r="F175" i="5"/>
  <c r="G175" i="5"/>
  <c r="H175" i="5"/>
  <c r="I175" i="5"/>
  <c r="K175" i="5"/>
  <c r="A176" i="5"/>
  <c r="B176" i="5"/>
  <c r="C176" i="5"/>
  <c r="E176" i="5"/>
  <c r="F176" i="5"/>
  <c r="G176" i="5"/>
  <c r="H176" i="5"/>
  <c r="I176" i="5"/>
  <c r="K176" i="5"/>
  <c r="A177" i="5"/>
  <c r="B177" i="5"/>
  <c r="C177" i="5"/>
  <c r="E177" i="5"/>
  <c r="F177" i="5"/>
  <c r="G177" i="5"/>
  <c r="H177" i="5"/>
  <c r="I177" i="5"/>
  <c r="K177" i="5"/>
  <c r="A178" i="5"/>
  <c r="B178" i="5"/>
  <c r="C178" i="5"/>
  <c r="E178" i="5"/>
  <c r="F178" i="5"/>
  <c r="G178" i="5"/>
  <c r="H178" i="5"/>
  <c r="I178" i="5"/>
  <c r="K178" i="5"/>
  <c r="A179" i="5"/>
  <c r="B179" i="5"/>
  <c r="C179" i="5"/>
  <c r="E179" i="5"/>
  <c r="F179" i="5"/>
  <c r="G179" i="5"/>
  <c r="H179" i="5"/>
  <c r="I179" i="5"/>
  <c r="K179" i="5"/>
  <c r="A180" i="5"/>
  <c r="B180" i="5"/>
  <c r="C180" i="5"/>
  <c r="E180" i="5"/>
  <c r="F180" i="5"/>
  <c r="G180" i="5"/>
  <c r="H180" i="5"/>
  <c r="I180" i="5"/>
  <c r="K180" i="5"/>
  <c r="A181" i="5"/>
  <c r="B181" i="5"/>
  <c r="C181" i="5"/>
  <c r="E181" i="5"/>
  <c r="F181" i="5"/>
  <c r="G181" i="5"/>
  <c r="H181" i="5"/>
  <c r="I181" i="5"/>
  <c r="K181" i="5"/>
  <c r="A182" i="5"/>
  <c r="B182" i="5"/>
  <c r="C182" i="5"/>
  <c r="E182" i="5"/>
  <c r="F182" i="5"/>
  <c r="G182" i="5"/>
  <c r="H182" i="5"/>
  <c r="I182" i="5"/>
  <c r="K182" i="5"/>
  <c r="A183" i="5"/>
  <c r="B183" i="5"/>
  <c r="C183" i="5"/>
  <c r="E183" i="5"/>
  <c r="F183" i="5"/>
  <c r="G183" i="5"/>
  <c r="H183" i="5"/>
  <c r="I183" i="5"/>
  <c r="K183" i="5"/>
  <c r="A184" i="5"/>
  <c r="B184" i="5"/>
  <c r="C184" i="5"/>
  <c r="E184" i="5"/>
  <c r="F184" i="5"/>
  <c r="G184" i="5"/>
  <c r="H184" i="5"/>
  <c r="I184" i="5"/>
  <c r="K184" i="5"/>
  <c r="A185" i="5"/>
  <c r="B185" i="5"/>
  <c r="C185" i="5"/>
  <c r="E185" i="5"/>
  <c r="F185" i="5"/>
  <c r="G185" i="5"/>
  <c r="H185" i="5"/>
  <c r="I185" i="5"/>
  <c r="K185" i="5"/>
  <c r="A186" i="5"/>
  <c r="B186" i="5"/>
  <c r="C186" i="5"/>
  <c r="E186" i="5"/>
  <c r="F186" i="5"/>
  <c r="G186" i="5"/>
  <c r="H186" i="5"/>
  <c r="I186" i="5"/>
  <c r="K186" i="5"/>
  <c r="A187" i="5"/>
  <c r="B187" i="5"/>
  <c r="C187" i="5"/>
  <c r="E187" i="5"/>
  <c r="F187" i="5"/>
  <c r="G187" i="5"/>
  <c r="H187" i="5"/>
  <c r="I187" i="5"/>
  <c r="K187" i="5"/>
  <c r="A188" i="5"/>
  <c r="B188" i="5"/>
  <c r="C188" i="5"/>
  <c r="E188" i="5"/>
  <c r="F188" i="5"/>
  <c r="G188" i="5"/>
  <c r="H188" i="5"/>
  <c r="I188" i="5"/>
  <c r="K188" i="5"/>
  <c r="A189" i="5"/>
  <c r="B189" i="5"/>
  <c r="C189" i="5"/>
  <c r="E189" i="5"/>
  <c r="F189" i="5"/>
  <c r="G189" i="5"/>
  <c r="H189" i="5"/>
  <c r="I189" i="5"/>
  <c r="K189" i="5"/>
  <c r="A190" i="5"/>
  <c r="B190" i="5"/>
  <c r="C190" i="5"/>
  <c r="E190" i="5"/>
  <c r="F190" i="5"/>
  <c r="G190" i="5"/>
  <c r="H190" i="5"/>
  <c r="I190" i="5"/>
  <c r="K190" i="5"/>
  <c r="A191" i="5"/>
  <c r="B191" i="5"/>
  <c r="C191" i="5"/>
  <c r="E191" i="5"/>
  <c r="F191" i="5"/>
  <c r="G191" i="5"/>
  <c r="H191" i="5"/>
  <c r="I191" i="5"/>
  <c r="K191" i="5"/>
  <c r="A192" i="5"/>
  <c r="B192" i="5"/>
  <c r="C192" i="5"/>
  <c r="E192" i="5"/>
  <c r="F192" i="5"/>
  <c r="G192" i="5"/>
  <c r="H192" i="5"/>
  <c r="I192" i="5"/>
  <c r="K192" i="5"/>
  <c r="A193" i="5"/>
  <c r="B193" i="5"/>
  <c r="C193" i="5"/>
  <c r="E193" i="5"/>
  <c r="F193" i="5"/>
  <c r="G193" i="5"/>
  <c r="H193" i="5"/>
  <c r="I193" i="5"/>
  <c r="K193" i="5"/>
  <c r="A194" i="5"/>
  <c r="B194" i="5"/>
  <c r="C194" i="5"/>
  <c r="E194" i="5"/>
  <c r="F194" i="5"/>
  <c r="G194" i="5"/>
  <c r="H194" i="5"/>
  <c r="I194" i="5"/>
  <c r="K194" i="5"/>
  <c r="A195" i="5"/>
  <c r="B195" i="5"/>
  <c r="C195" i="5"/>
  <c r="E195" i="5"/>
  <c r="F195" i="5"/>
  <c r="G195" i="5"/>
  <c r="H195" i="5"/>
  <c r="I195" i="5"/>
  <c r="K195" i="5"/>
  <c r="A196" i="5"/>
  <c r="B196" i="5"/>
  <c r="C196" i="5"/>
  <c r="E196" i="5"/>
  <c r="F196" i="5"/>
  <c r="G196" i="5"/>
  <c r="H196" i="5"/>
  <c r="I196" i="5"/>
  <c r="K196" i="5"/>
  <c r="A197" i="5"/>
  <c r="B197" i="5"/>
  <c r="C197" i="5"/>
  <c r="E197" i="5"/>
  <c r="F197" i="5"/>
  <c r="G197" i="5"/>
  <c r="H197" i="5"/>
  <c r="I197" i="5"/>
  <c r="K197" i="5"/>
  <c r="A198" i="5"/>
  <c r="B198" i="5"/>
  <c r="C198" i="5"/>
  <c r="E198" i="5"/>
  <c r="F198" i="5"/>
  <c r="G198" i="5"/>
  <c r="H198" i="5"/>
  <c r="I198" i="5"/>
  <c r="K198" i="5"/>
  <c r="A199" i="5"/>
  <c r="B199" i="5"/>
  <c r="C199" i="5"/>
  <c r="E199" i="5"/>
  <c r="F199" i="5"/>
  <c r="G199" i="5"/>
  <c r="H199" i="5"/>
  <c r="I199" i="5"/>
  <c r="K199" i="5"/>
  <c r="A200" i="5"/>
  <c r="B200" i="5"/>
  <c r="C200" i="5"/>
  <c r="E200" i="5"/>
  <c r="F200" i="5"/>
  <c r="G200" i="5"/>
  <c r="H200" i="5"/>
  <c r="I200" i="5"/>
  <c r="K200" i="5"/>
  <c r="A201" i="5"/>
  <c r="B201" i="5"/>
  <c r="C201" i="5"/>
  <c r="E201" i="5"/>
  <c r="F201" i="5"/>
  <c r="G201" i="5"/>
  <c r="H201" i="5"/>
  <c r="I201" i="5"/>
  <c r="K201" i="5"/>
  <c r="A202" i="5"/>
  <c r="B202" i="5"/>
  <c r="C202" i="5"/>
  <c r="E202" i="5"/>
  <c r="F202" i="5"/>
  <c r="G202" i="5"/>
  <c r="H202" i="5"/>
  <c r="I202" i="5"/>
  <c r="K202" i="5"/>
  <c r="A203" i="5"/>
  <c r="B203" i="5"/>
  <c r="C203" i="5"/>
  <c r="E203" i="5"/>
  <c r="F203" i="5"/>
  <c r="G203" i="5"/>
  <c r="H203" i="5"/>
  <c r="I203" i="5"/>
  <c r="K203" i="5"/>
  <c r="A204" i="5"/>
  <c r="B204" i="5"/>
  <c r="C204" i="5"/>
  <c r="E204" i="5"/>
  <c r="F204" i="5"/>
  <c r="G204" i="5"/>
  <c r="H204" i="5"/>
  <c r="I204" i="5"/>
  <c r="K204" i="5"/>
  <c r="A205" i="5"/>
  <c r="B205" i="5"/>
  <c r="C205" i="5"/>
  <c r="E205" i="5"/>
  <c r="F205" i="5"/>
  <c r="G205" i="5"/>
  <c r="H205" i="5"/>
  <c r="I205" i="5"/>
  <c r="K205" i="5"/>
  <c r="A206" i="5"/>
  <c r="B206" i="5"/>
  <c r="C206" i="5"/>
  <c r="E206" i="5"/>
  <c r="F206" i="5"/>
  <c r="G206" i="5"/>
  <c r="H206" i="5"/>
  <c r="I206" i="5"/>
  <c r="K206" i="5"/>
  <c r="A207" i="5"/>
  <c r="B207" i="5"/>
  <c r="C207" i="5"/>
  <c r="E207" i="5"/>
  <c r="F207" i="5"/>
  <c r="G207" i="5"/>
  <c r="H207" i="5"/>
  <c r="I207" i="5"/>
  <c r="K207" i="5"/>
  <c r="A208" i="5"/>
  <c r="B208" i="5"/>
  <c r="C208" i="5"/>
  <c r="E208" i="5"/>
  <c r="F208" i="5"/>
  <c r="G208" i="5"/>
  <c r="H208" i="5"/>
  <c r="I208" i="5"/>
  <c r="K208" i="5"/>
  <c r="A209" i="5"/>
  <c r="B209" i="5"/>
  <c r="C209" i="5"/>
  <c r="E209" i="5"/>
  <c r="F209" i="5"/>
  <c r="G209" i="5"/>
  <c r="H209" i="5"/>
  <c r="I209" i="5"/>
  <c r="K209" i="5"/>
  <c r="A210" i="5"/>
  <c r="B210" i="5"/>
  <c r="C210" i="5"/>
  <c r="E210" i="5"/>
  <c r="F210" i="5"/>
  <c r="G210" i="5"/>
  <c r="H210" i="5"/>
  <c r="I210" i="5"/>
  <c r="K210" i="5"/>
  <c r="L9" i="3"/>
  <c r="K9" i="3"/>
  <c r="J9" i="3"/>
  <c r="I9" i="3"/>
  <c r="H13" i="3"/>
  <c r="H12" i="3"/>
  <c r="E13" i="3"/>
  <c r="E12" i="3"/>
  <c r="E9" i="3"/>
  <c r="D9" i="3"/>
  <c r="C9" i="3"/>
  <c r="F5" i="3"/>
  <c r="E5" i="3"/>
  <c r="D5" i="3"/>
  <c r="I5" i="3"/>
  <c r="J5" i="3"/>
  <c r="K5" i="3"/>
  <c r="K3" i="5"/>
  <c r="I3" i="5"/>
  <c r="H3" i="5"/>
  <c r="G3" i="5"/>
  <c r="F3" i="5"/>
  <c r="E3" i="5"/>
  <c r="C3" i="5"/>
  <c r="B3" i="5"/>
  <c r="A3" i="5"/>
  <c r="C33" i="3" l="1"/>
  <c r="CA5" i="3" l="1"/>
  <c r="C5" i="3" l="1"/>
  <c r="B21" i="3" s="1"/>
  <c r="CH21" i="3" s="1"/>
  <c r="CG26" i="3"/>
  <c r="CA27" i="3"/>
  <c r="CG27" i="3"/>
  <c r="CB27" i="3"/>
  <c r="CH27" i="3"/>
  <c r="CB26" i="3"/>
  <c r="CH20" i="3"/>
  <c r="CA20" i="3"/>
  <c r="G9" i="3"/>
  <c r="CG20" i="3"/>
  <c r="CH26" i="3"/>
  <c r="CA26" i="3"/>
  <c r="F9" i="3"/>
  <c r="CB20" i="3"/>
  <c r="F15" i="3" l="1"/>
  <c r="CB21" i="3"/>
  <c r="CA21" i="3"/>
  <c r="CG21" i="3"/>
  <c r="G142" i="5"/>
  <c r="G106" i="6" l="1"/>
  <c r="G106" i="5"/>
  <c r="G21" i="6"/>
  <c r="G21" i="5"/>
  <c r="G20" i="5"/>
  <c r="G20" i="6"/>
  <c r="G15" i="5" l="1"/>
  <c r="G15" i="6"/>
  <c r="G73" i="6" l="1"/>
  <c r="B74" i="4"/>
  <c r="G7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Lopez S. (HHM)</author>
  </authors>
  <commentList>
    <comment ref="Y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SOLO ESTÍMULO</t>
        </r>
      </text>
    </comment>
    <comment ref="Z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VPP EN ADELANTE</t>
        </r>
      </text>
    </comment>
    <comment ref="AD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Carolina Lopez S. (HHM):</t>
        </r>
        <r>
          <rPr>
            <sz val="9"/>
            <color indexed="81"/>
            <rFont val="Tahoma"/>
            <family val="2"/>
          </rPr>
          <t xml:space="preserve">
MAYOR A 30 SEGUNDOS
</t>
        </r>
      </text>
    </comment>
    <comment ref="AJ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Carolina Lopez S. (HHM):</t>
        </r>
        <r>
          <rPr>
            <sz val="9"/>
            <color indexed="81"/>
            <rFont val="Tahoma"/>
            <family val="2"/>
          </rPr>
          <t xml:space="preserve">
Madres deberian recibir proflilaxis entre las 24 y 28  según carga viral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Arostica O.(HHM)</author>
  </authors>
  <commentList>
    <comment ref="D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Carlos Arostica O.(HHM):</t>
        </r>
        <r>
          <rPr>
            <sz val="9"/>
            <color indexed="81"/>
            <rFont val="Tahoma"/>
            <family val="2"/>
          </rPr>
          <t xml:space="preserve">
3 TRASLADADOS A ANATOMIA PATOLOGICA</t>
        </r>
      </text>
    </comment>
    <comment ref="E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Carlos Arostica O.(HHM):</t>
        </r>
        <r>
          <rPr>
            <sz val="9"/>
            <color indexed="81"/>
            <rFont val="Tahoma"/>
            <family val="2"/>
          </rPr>
          <t xml:space="preserve">
DIFERENCIA CON TOTAL DE PARTOS LIBRO DE PARTO POR DOS RN - MORTINATO</t>
        </r>
      </text>
    </comment>
    <comment ref="B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Carlos Arostica O.(HHM):</t>
        </r>
        <r>
          <rPr>
            <sz val="9"/>
            <color indexed="81"/>
            <rFont val="Tahoma"/>
            <family val="2"/>
          </rPr>
          <t xml:space="preserve">
3 TRASLADOS A ANATOMIA PATOLOGICA </t>
        </r>
      </text>
    </comment>
  </commentList>
</comments>
</file>

<file path=xl/sharedStrings.xml><?xml version="1.0" encoding="utf-8"?>
<sst xmlns="http://schemas.openxmlformats.org/spreadsheetml/2006/main" count="4071" uniqueCount="286">
  <si>
    <t>N°</t>
  </si>
  <si>
    <t xml:space="preserve">FECHA NAC </t>
  </si>
  <si>
    <t>HORA</t>
  </si>
  <si>
    <t>Apellido Paterno RN</t>
  </si>
  <si>
    <t>NOMBRE COMPLETO  MADRE DE RN</t>
  </si>
  <si>
    <t>RUT</t>
  </si>
  <si>
    <t>COMUNA</t>
  </si>
  <si>
    <t>CESFAM</t>
  </si>
  <si>
    <t>FECHA NAC MADRE</t>
  </si>
  <si>
    <t>TIPO DE PARTO</t>
  </si>
  <si>
    <t>SEXO</t>
  </si>
  <si>
    <t>Talla</t>
  </si>
  <si>
    <t>CC</t>
  </si>
  <si>
    <t>Apego</t>
  </si>
  <si>
    <t>Lact antes 60'</t>
  </si>
  <si>
    <t>Profilaxis Ocular</t>
  </si>
  <si>
    <t>Vacuna Hepatitis B</t>
  </si>
  <si>
    <t>Profesional que vacuna VHB</t>
  </si>
  <si>
    <t>Vacuna BCG</t>
  </si>
  <si>
    <t>APGAR</t>
  </si>
  <si>
    <t>Reanimación BÁSICA</t>
  </si>
  <si>
    <t>Reanimación AVANZADA</t>
  </si>
  <si>
    <t>Gases deCordón</t>
  </si>
  <si>
    <t>APEGO CANGURO</t>
  </si>
  <si>
    <t>APEGO TÚNEL</t>
  </si>
  <si>
    <t>CLAMPEO TARDÍO</t>
  </si>
  <si>
    <t>IVE CAUSAL 2</t>
  </si>
  <si>
    <t>MADRE VIH (+)</t>
  </si>
  <si>
    <t>VDRL MATERNO</t>
  </si>
  <si>
    <t>HEPATITIS B MATERNO</t>
  </si>
  <si>
    <t>EDAD MATERNA</t>
  </si>
  <si>
    <t>DIAGNÓSTICO</t>
  </si>
  <si>
    <t>DESTINO RN</t>
  </si>
  <si>
    <t>INTERNO</t>
  </si>
  <si>
    <t>1'</t>
  </si>
  <si>
    <t>5'</t>
  </si>
  <si>
    <t xml:space="preserve">RESULTADO EXAMEN </t>
  </si>
  <si>
    <t>TRATAMIENTO</t>
  </si>
  <si>
    <t>MIGRANTE</t>
  </si>
  <si>
    <t>PUEBLO ORIGINARIO</t>
  </si>
  <si>
    <t>ACOMPAÑANTE EN PABELLON</t>
  </si>
  <si>
    <t>DISTOCICO</t>
  </si>
  <si>
    <t>VACUUM</t>
  </si>
  <si>
    <t>SECCIÓN D.2: ATENCION INMEDIATA DEL RECIEN NACIDO</t>
  </si>
  <si>
    <t>TIPO</t>
  </si>
  <si>
    <t>PROFILAXIS</t>
  </si>
  <si>
    <t xml:space="preserve">APGAR  </t>
  </si>
  <si>
    <t xml:space="preserve">Reanimación Básica </t>
  </si>
  <si>
    <t xml:space="preserve">Reanimación Avanzada </t>
  </si>
  <si>
    <t>EHI                Grado II y III</t>
  </si>
  <si>
    <t>Hepatitis B</t>
  </si>
  <si>
    <t>Ocular</t>
  </si>
  <si>
    <t>Parto Vaginal</t>
  </si>
  <si>
    <t>Parto Instrumental</t>
  </si>
  <si>
    <t>Cesárea</t>
  </si>
  <si>
    <t>Parto extrahospitalario</t>
  </si>
  <si>
    <t xml:space="preserve">Apgar menor o igual a 3 al minuto </t>
  </si>
  <si>
    <t xml:space="preserve">Apgar menor o igual a 6 a los 5 minutos </t>
  </si>
  <si>
    <t>NACIDOS VIVOS</t>
  </si>
  <si>
    <t>SECCIÓN D: INFORMACIÓN DE RECIÉN NACIDOS</t>
  </si>
  <si>
    <t>SECCIÓN D.1: INFORMACION GENERAL DE RECIEN NACIDOS VIVOS</t>
  </si>
  <si>
    <t>TOTAL</t>
  </si>
  <si>
    <t>PESO AL NACER (EN GRAMOS)</t>
  </si>
  <si>
    <t>Anomalía Congénita</t>
  </si>
  <si>
    <t>Menos de 500</t>
  </si>
  <si>
    <t>500 a 999</t>
  </si>
  <si>
    <t>1.000 a 
1.499</t>
  </si>
  <si>
    <t>1.500 a 
1.999</t>
  </si>
  <si>
    <t>2.000 a 
2.499</t>
  </si>
  <si>
    <t>2.500 a 
2.999</t>
  </si>
  <si>
    <t>3.000 a 
3.999</t>
  </si>
  <si>
    <t>4.000 y 
más</t>
  </si>
  <si>
    <t>C. URGENCIA</t>
  </si>
  <si>
    <t>C. ELECTIVA</t>
  </si>
  <si>
    <t>TOTAL DE PARTOS</t>
  </si>
  <si>
    <t>SECCION D: APLICACIÓN DE PROFILAXIS OCULAR PARA GONORREA EN RECIEN NACIDOS</t>
  </si>
  <si>
    <t>Total</t>
  </si>
  <si>
    <t>Pueblos Originarios</t>
  </si>
  <si>
    <t>Migrantes</t>
  </si>
  <si>
    <t>Recién Nacidos  vivos que reciben profilaxis ocular para gonorrea al nacer</t>
  </si>
  <si>
    <t xml:space="preserve">Recién nacidos vivos </t>
  </si>
  <si>
    <t>REM A11</t>
  </si>
  <si>
    <t>SECCION J: PROFILAXIS DE TRANSMISIÓN VERTICAL APLICADA AL RECIEN NACIDO, HIJO DE MADRE HEPATITIS B POSITIVA</t>
  </si>
  <si>
    <t>Recién nacidos hijos de madre Hepatitis B positiva, nacidos en el periodo</t>
  </si>
  <si>
    <t>Recién nacidos hijos de madre Hepatitis B positiva que recibieron profilaxis completa, según la normativa vigente</t>
  </si>
  <si>
    <r>
      <t xml:space="preserve">PROFILAXIS COMPLETA       </t>
    </r>
    <r>
      <rPr>
        <sz val="8"/>
        <color rgb="FFFF0000"/>
        <rFont val="Calibri"/>
        <family val="2"/>
        <scheme val="minor"/>
      </rPr>
      <t>SI/NO</t>
    </r>
  </si>
  <si>
    <t>Describir malformación congénita</t>
  </si>
  <si>
    <t>MALFORMACION CONGÉNITA                                           (SI/NO)</t>
  </si>
  <si>
    <t>Sem</t>
  </si>
  <si>
    <t>Días</t>
  </si>
  <si>
    <t>REM A 24</t>
  </si>
  <si>
    <t>Lactancia materna en los primeros  60 minutos de vida  (RN con peso de 2.500 grs. o más)</t>
  </si>
  <si>
    <t>CARACTERISTICAS DEL PARTO</t>
  </si>
  <si>
    <t>TOTAL PARTOS</t>
  </si>
  <si>
    <t>VAGINAL</t>
  </si>
  <si>
    <t>INSTRUMENTAL</t>
  </si>
  <si>
    <t>CESÁREA ELECTIVA</t>
  </si>
  <si>
    <t>CESÁREA URGENCIA</t>
  </si>
  <si>
    <t>REM 24</t>
  </si>
  <si>
    <t>VACUNA BCG</t>
  </si>
  <si>
    <t>si/no</t>
  </si>
  <si>
    <t>Comuna</t>
  </si>
  <si>
    <t>Fecha Nacimiento Madre</t>
  </si>
  <si>
    <t>Fecha Nacimiento Hijo</t>
  </si>
  <si>
    <t>Sexo</t>
  </si>
  <si>
    <t>Peso</t>
  </si>
  <si>
    <t>Reacción Adversa</t>
  </si>
  <si>
    <t>N° Cama</t>
  </si>
  <si>
    <t>E</t>
  </si>
  <si>
    <t>G</t>
  </si>
  <si>
    <t>SI</t>
  </si>
  <si>
    <t>NO</t>
  </si>
  <si>
    <t>SALA</t>
  </si>
  <si>
    <t>FEMENINO</t>
  </si>
  <si>
    <t>CHILLAN</t>
  </si>
  <si>
    <t>si</t>
  </si>
  <si>
    <t>OBSERVACIONES</t>
  </si>
  <si>
    <t>17989175-1</t>
  </si>
  <si>
    <t>KATJERINE VERONICA PASTENE SOTO</t>
  </si>
  <si>
    <t>GES 18</t>
  </si>
  <si>
    <t>Alojamiento Conjunto en Puerperio Inmediato</t>
  </si>
  <si>
    <t>VIOLETA PARRA</t>
  </si>
  <si>
    <t>EUTOCICO</t>
  </si>
  <si>
    <t>MASCULINO</t>
  </si>
  <si>
    <t>CAMILA VERA</t>
  </si>
  <si>
    <t>NEGATIVO</t>
  </si>
  <si>
    <t>PORTEZUELO</t>
  </si>
  <si>
    <t>CESAREA URGENCIA</t>
  </si>
  <si>
    <t>SOL DE ORIENTE</t>
  </si>
  <si>
    <t>CESAREA ELECTIVA</t>
  </si>
  <si>
    <t>KATHERINE RAMIREZ MEDINA</t>
  </si>
  <si>
    <t>RECUPERACION</t>
  </si>
  <si>
    <t>PATRICIA SANDOVAL</t>
  </si>
  <si>
    <t>CHILLAN VIEJO</t>
  </si>
  <si>
    <t>FEDERICO PUGA</t>
  </si>
  <si>
    <t>ANA MENDEZ</t>
  </si>
  <si>
    <t>RNT 38 SEM AEG HMDIR</t>
  </si>
  <si>
    <t>TIM NEO</t>
  </si>
  <si>
    <t>RNT 39 SEM AEG</t>
  </si>
  <si>
    <t>SAN IGNACIO</t>
  </si>
  <si>
    <t>no</t>
  </si>
  <si>
    <t>PLANILLA URNI SEPTIEMBRE 2025</t>
  </si>
  <si>
    <t>NO REACTIVO</t>
  </si>
  <si>
    <t>N</t>
  </si>
  <si>
    <t xml:space="preserve">CHILLAN </t>
  </si>
  <si>
    <t>RNT 39 SEM AEG OBS. CARDIOPATIA</t>
  </si>
  <si>
    <t>RNPT 34 AEG</t>
  </si>
  <si>
    <t>PUEBLO SECO</t>
  </si>
  <si>
    <t xml:space="preserve">RNT 38 SEM AEG </t>
  </si>
  <si>
    <t>SAN RAMON NONATO</t>
  </si>
  <si>
    <t xml:space="preserve">VALERIE HORSTMEIER </t>
  </si>
  <si>
    <t>RNPT 36 SEM PEG</t>
  </si>
  <si>
    <t xml:space="preserve">SALA </t>
  </si>
  <si>
    <t>RNT 39 SEM AEG, SDR</t>
  </si>
  <si>
    <t>BULNES</t>
  </si>
  <si>
    <t>RNT 37 SEM GEG</t>
  </si>
  <si>
    <t>QUILLON</t>
  </si>
  <si>
    <t>FERNANDA VILCHES</t>
  </si>
  <si>
    <t>RNT 40 SEM AEG</t>
  </si>
  <si>
    <t>COIHUECO</t>
  </si>
  <si>
    <t>RNT 38 SEM AEG</t>
  </si>
  <si>
    <t>RNT 40 SEM AEG, FRACTURA CLAVICULA DERECHA</t>
  </si>
  <si>
    <t>YUNGAY</t>
  </si>
  <si>
    <t>RNT 37 SEM PEG</t>
  </si>
  <si>
    <t>LOS VOLCANES</t>
  </si>
  <si>
    <t>RNPT36 SEM PEG</t>
  </si>
  <si>
    <t>RNT 38 SEM PEG</t>
  </si>
  <si>
    <t>RNT 39 AEG</t>
  </si>
  <si>
    <t>CHILLÁN VIEJO</t>
  </si>
  <si>
    <t>DANIEL DIONICIO</t>
  </si>
  <si>
    <t>RN T 38 SEM GEG</t>
  </si>
  <si>
    <t>ISABEL RIQUELME</t>
  </si>
  <si>
    <t>RNT 38 SEM AEG HMD CON DIETA</t>
  </si>
  <si>
    <t>MICHELLE BACHELET</t>
  </si>
  <si>
    <t>CONSTANZA CANDIA</t>
  </si>
  <si>
    <t>RNT 39 SEM AEG HMD C/DIETA</t>
  </si>
  <si>
    <t xml:space="preserve">RNT 41 SEM AEG                                                 </t>
  </si>
  <si>
    <t>ULTRAESTACION</t>
  </si>
  <si>
    <t>RNT 40 SEM AEG HMD</t>
  </si>
  <si>
    <t>EL CARMEN</t>
  </si>
  <si>
    <t>RNT 39 SEM SEG</t>
  </si>
  <si>
    <t>RNT 38 AEG</t>
  </si>
  <si>
    <t>RNT39 SEM PEG</t>
  </si>
  <si>
    <t>RNT 40 SEM GEG, HMD</t>
  </si>
  <si>
    <t>RANQUIL</t>
  </si>
  <si>
    <t>ÑIPAS</t>
  </si>
  <si>
    <t>EGD</t>
  </si>
  <si>
    <t>PENDIENTE</t>
  </si>
  <si>
    <t>S/P</t>
  </si>
  <si>
    <t>RNT37 SEM AEG</t>
  </si>
  <si>
    <t>RNPT 36 SEM GEG</t>
  </si>
  <si>
    <t>DANIELA NAVARRETE</t>
  </si>
  <si>
    <t>QUIRIHUE</t>
  </si>
  <si>
    <t>3 CIRCULAR AL CUELLO REDUCTIBLE</t>
  </si>
  <si>
    <t>RNT 40 SEM AEG HMD CON DIETA</t>
  </si>
  <si>
    <t>COELEMU</t>
  </si>
  <si>
    <t>RNT 39 SEM GEG</t>
  </si>
  <si>
    <t>1 CIRCULAR AL CUELLO REDUCTIBLE</t>
  </si>
  <si>
    <t>IGNACIO MATAMALA FLORES</t>
  </si>
  <si>
    <t>PARTICULAR</t>
  </si>
  <si>
    <t>RNPT 25 AEG, SDR EN EVOLUCION</t>
  </si>
  <si>
    <t>UCI</t>
  </si>
  <si>
    <t>33.5</t>
  </si>
  <si>
    <t xml:space="preserve">KATHERINE  RAMIREZ MEDINA </t>
  </si>
  <si>
    <t>RNT 35 SEM AEG</t>
  </si>
  <si>
    <t>KATHERINE RAMIREZ/CAMILA VERA</t>
  </si>
  <si>
    <t>CAMPANARIO</t>
  </si>
  <si>
    <t>RN PT 36 SEM AEG</t>
  </si>
  <si>
    <t>RNT 38 SEM AEH HMD CON DIETA</t>
  </si>
  <si>
    <t>PADRE HURTADO</t>
  </si>
  <si>
    <t xml:space="preserve">RNT 41 SEM GEG                                               </t>
  </si>
  <si>
    <t>RNT 38 GEG</t>
  </si>
  <si>
    <t>SIN CONTROL</t>
  </si>
  <si>
    <t>CAMILA VERA-ANA MENDEZ</t>
  </si>
  <si>
    <t>POSTA CATO</t>
  </si>
  <si>
    <t>RNT 37 SEM AEG</t>
  </si>
  <si>
    <t>AIDA RODRIGUEZ</t>
  </si>
  <si>
    <t>AARON CISTERNA</t>
  </si>
  <si>
    <t>PT 36 SEM PEG SEVERO BAJO PESO</t>
  </si>
  <si>
    <t>PT 36 SEM PEG SEVERO PODALICA</t>
  </si>
  <si>
    <t>RNT 38 SEM HMDIR</t>
  </si>
  <si>
    <t>RNT 38 SEM, HMD IR</t>
  </si>
  <si>
    <t>REACTIVO DEBIL</t>
  </si>
  <si>
    <t>RNT 37 SEN AEG</t>
  </si>
  <si>
    <t>RNPT 36 SEM AEG</t>
  </si>
  <si>
    <t>DOÑA ISABEL</t>
  </si>
  <si>
    <t>RNT 37 AEG</t>
  </si>
  <si>
    <t>PARCIAL</t>
  </si>
  <si>
    <t>RNT 38 GEM AEG</t>
  </si>
  <si>
    <t>RNPRET 34 SEM AEG SDR</t>
  </si>
  <si>
    <t>RNPT 35 AEG</t>
  </si>
  <si>
    <t>RNT39 SEM GEG</t>
  </si>
  <si>
    <t>RNT40 SEM GEG</t>
  </si>
  <si>
    <t>RNT 37 SEM AEG HMD IR</t>
  </si>
  <si>
    <t>AIDA RODRIGUEZ -ANA MENDEZ</t>
  </si>
  <si>
    <t>RNPT34 SEM AEG</t>
  </si>
  <si>
    <t>LLORA AL NACERA</t>
  </si>
  <si>
    <t>LUIS MONTECINOS</t>
  </si>
  <si>
    <t>PINTO</t>
  </si>
  <si>
    <t>RNT 38 SEM AEG HMD IR</t>
  </si>
  <si>
    <t>RNPRET 32 SEM AEG SDR</t>
  </si>
  <si>
    <t>UCI NEO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</si>
  <si>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</si>
  <si>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RNT 40 AEG</t>
  </si>
  <si>
    <t>SIN EXAMENES</t>
  </si>
  <si>
    <t>VVS</t>
  </si>
  <si>
    <t>RNPT 31 AEG, EMBARAZO OCULTO, NO CONTROLADO</t>
  </si>
  <si>
    <t>RNT 39 AEG, DEPRESION NN RECUPERADA</t>
  </si>
  <si>
    <t>RN PRE T 31 SEM PEG</t>
  </si>
  <si>
    <t>RN T 38 SEM AEG</t>
  </si>
  <si>
    <t>RNT 40 SEM AGE HMD C/DIETA FRENILLO SUBLINGUAL CORTO</t>
  </si>
  <si>
    <t>RNT 40 SEM GEG</t>
  </si>
  <si>
    <t>RNT 37 SEM AEG DUILATACION RENAL DERECHA LEVE</t>
  </si>
  <si>
    <t>QUIRIQUINA</t>
  </si>
  <si>
    <t>RNT 38 SEM AEG, HMDIR</t>
  </si>
  <si>
    <t>RNT 38 SEM GEG HMD CON DIETA, PODALICO</t>
  </si>
  <si>
    <t>RNPT35 SEM AEG G1 SDR</t>
  </si>
  <si>
    <t>RNPT 35 SEM AEG G2 SDR</t>
  </si>
  <si>
    <t>EL ROSAL</t>
  </si>
  <si>
    <t>SANTA CLARA</t>
  </si>
  <si>
    <t>PEMUCO</t>
  </si>
  <si>
    <t>RNT 39 SEM PEG</t>
  </si>
  <si>
    <t>EXTRASISTEMA</t>
  </si>
  <si>
    <t>RNPT 29 GEG, SDR EN EVOLUCION</t>
  </si>
  <si>
    <t>KATHERINE RAMIREZ MEDINA/C VERA</t>
  </si>
  <si>
    <t>RNT 37 SEM AEG, HMD</t>
  </si>
  <si>
    <t>QUINCHAMALI</t>
  </si>
  <si>
    <t>RECUPERACIÓN</t>
  </si>
  <si>
    <t>RNPRET 33 SEM GEG SDR</t>
  </si>
  <si>
    <t>ISABEL BECERRA</t>
  </si>
  <si>
    <t>1 CIRCULAR REDUCTIBLE AL CUELLO</t>
  </si>
  <si>
    <t>RNPT 26 SEM AEG, DEPRESION NEONATAL AL NACER, SDR</t>
  </si>
  <si>
    <t>RNT 37 SEMAEG</t>
  </si>
  <si>
    <t>HUALPEN</t>
  </si>
  <si>
    <t>PAULINA AVENDAÑO</t>
  </si>
  <si>
    <t>RNPT 33 AEG</t>
  </si>
  <si>
    <t>BASICO</t>
  </si>
  <si>
    <t>RNPT 30 AEG, SDR EN EVOLUCION</t>
  </si>
  <si>
    <t>RNT 35 SEM GEG, DNN RECUPERADA</t>
  </si>
  <si>
    <t>RNPRET 36 SEM PEG</t>
  </si>
  <si>
    <t>RNPRET 36 SEM AEG</t>
  </si>
  <si>
    <t>LOS ALPES</t>
  </si>
  <si>
    <t>RNT 37 SEM PEG PIE BOTH</t>
  </si>
  <si>
    <t>PIE BOTH</t>
  </si>
  <si>
    <t>RNT38 SEM AEG</t>
  </si>
  <si>
    <t>RNPRET 34 SEM 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</si>
</sst>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6"/>
      <color theme="1"/>
      <name val="Arial Rounded MT Bold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Verdana"/>
      <family val="2"/>
    </font>
    <font>
      <sz val="11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sz val="26"/>
      <color rgb="FFFF0000"/>
      <name val="Arial Rounded MT Bold"/>
      <family val="2"/>
    </font>
    <font>
      <sz val="10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FF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25">
    <xf numFmtId="0" fontId="0" fillId="0" borderId="0" xfId="0"/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 applyProtection="1">
      <alignment horizontal="center" vertical="center" wrapText="1"/>
    </xf>
    <xf numFmtId="0" fontId="5" fillId="6" borderId="1" xfId="0" applyFont="1" applyFill="1" applyBorder="1" applyAlignment="1" applyProtection="1">
      <alignment horizontal="center" vertical="center" wrapText="1"/>
    </xf>
    <xf numFmtId="0" fontId="6" fillId="6" borderId="1" xfId="0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13" fillId="9" borderId="0" xfId="0" applyNumberFormat="1" applyFont="1" applyFill="1" applyAlignment="1">
      <alignment horizontal="left"/>
    </xf>
    <xf numFmtId="1" fontId="14" fillId="9" borderId="0" xfId="0" applyNumberFormat="1" applyFont="1" applyFill="1"/>
    <xf numFmtId="1" fontId="15" fillId="9" borderId="0" xfId="0" applyNumberFormat="1" applyFont="1" applyFill="1"/>
    <xf numFmtId="1" fontId="15" fillId="9" borderId="0" xfId="0" applyNumberFormat="1" applyFont="1" applyFill="1" applyAlignment="1">
      <alignment horizontal="center"/>
    </xf>
    <xf numFmtId="1" fontId="15" fillId="9" borderId="0" xfId="0" applyNumberFormat="1" applyFont="1" applyFill="1" applyAlignment="1">
      <alignment horizontal="left"/>
    </xf>
    <xf numFmtId="1" fontId="14" fillId="7" borderId="0" xfId="0" applyNumberFormat="1" applyFont="1" applyFill="1"/>
    <xf numFmtId="1" fontId="14" fillId="7" borderId="0" xfId="0" applyNumberFormat="1" applyFont="1" applyFill="1" applyProtection="1">
      <protection locked="0"/>
    </xf>
    <xf numFmtId="1" fontId="14" fillId="10" borderId="0" xfId="0" applyNumberFormat="1" applyFont="1" applyFill="1"/>
    <xf numFmtId="1" fontId="14" fillId="10" borderId="0" xfId="0" applyNumberFormat="1" applyFont="1" applyFill="1" applyProtection="1">
      <protection locked="0"/>
    </xf>
    <xf numFmtId="1" fontId="14" fillId="11" borderId="0" xfId="0" applyNumberFormat="1" applyFont="1" applyFill="1"/>
    <xf numFmtId="1" fontId="15" fillId="9" borderId="1" xfId="0" applyNumberFormat="1" applyFont="1" applyFill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wrapText="1"/>
    </xf>
    <xf numFmtId="1" fontId="15" fillId="0" borderId="5" xfId="0" applyNumberFormat="1" applyFont="1" applyBorder="1" applyAlignment="1">
      <alignment horizontal="center" vertical="center" wrapText="1"/>
    </xf>
    <xf numFmtId="1" fontId="17" fillId="12" borderId="5" xfId="0" applyNumberFormat="1" applyFont="1" applyFill="1" applyBorder="1" applyProtection="1">
      <protection locked="0"/>
    </xf>
    <xf numFmtId="1" fontId="17" fillId="12" borderId="1" xfId="0" applyNumberFormat="1" applyFont="1" applyFill="1" applyBorder="1" applyProtection="1">
      <protection locked="0"/>
    </xf>
    <xf numFmtId="1" fontId="13" fillId="7" borderId="0" xfId="0" applyNumberFormat="1" applyFont="1" applyFill="1" applyAlignment="1">
      <alignment horizontal="left" wrapText="1"/>
    </xf>
    <xf numFmtId="1" fontId="13" fillId="7" borderId="0" xfId="0" applyNumberFormat="1" applyFont="1" applyFill="1"/>
    <xf numFmtId="1" fontId="15" fillId="7" borderId="0" xfId="0" applyNumberFormat="1" applyFont="1" applyFill="1"/>
    <xf numFmtId="1" fontId="15" fillId="0" borderId="15" xfId="0" applyNumberFormat="1" applyFont="1" applyBorder="1" applyAlignment="1">
      <alignment horizontal="center" vertical="center" wrapText="1"/>
    </xf>
    <xf numFmtId="1" fontId="15" fillId="0" borderId="16" xfId="0" applyNumberFormat="1" applyFont="1" applyBorder="1" applyAlignment="1">
      <alignment horizontal="center" vertical="center" wrapText="1"/>
    </xf>
    <xf numFmtId="1" fontId="15" fillId="0" borderId="17" xfId="0" applyNumberFormat="1" applyFont="1" applyBorder="1" applyAlignment="1">
      <alignment horizontal="center" vertical="center" wrapText="1"/>
    </xf>
    <xf numFmtId="1" fontId="15" fillId="7" borderId="0" xfId="0" applyNumberFormat="1" applyFont="1" applyFill="1" applyAlignment="1">
      <alignment vertical="top" wrapText="1"/>
    </xf>
    <xf numFmtId="1" fontId="15" fillId="0" borderId="1" xfId="0" applyNumberFormat="1" applyFont="1" applyBorder="1" applyAlignment="1">
      <alignment wrapText="1"/>
    </xf>
    <xf numFmtId="1" fontId="15" fillId="12" borderId="15" xfId="0" applyNumberFormat="1" applyFont="1" applyFill="1" applyBorder="1" applyProtection="1">
      <protection locked="0"/>
    </xf>
    <xf numFmtId="1" fontId="15" fillId="12" borderId="16" xfId="0" applyNumberFormat="1" applyFont="1" applyFill="1" applyBorder="1" applyProtection="1">
      <protection locked="0"/>
    </xf>
    <xf numFmtId="1" fontId="15" fillId="12" borderId="17" xfId="0" applyNumberFormat="1" applyFont="1" applyFill="1" applyBorder="1" applyProtection="1">
      <protection locked="0"/>
    </xf>
    <xf numFmtId="1" fontId="15" fillId="12" borderId="5" xfId="0" applyNumberFormat="1" applyFont="1" applyFill="1" applyBorder="1" applyProtection="1">
      <protection locked="0"/>
    </xf>
    <xf numFmtId="1" fontId="16" fillId="7" borderId="0" xfId="0" applyNumberFormat="1" applyFont="1" applyFill="1"/>
    <xf numFmtId="1" fontId="14" fillId="13" borderId="0" xfId="0" applyNumberFormat="1" applyFont="1" applyFill="1"/>
    <xf numFmtId="1" fontId="14" fillId="8" borderId="0" xfId="0" applyNumberFormat="1" applyFont="1" applyFill="1"/>
    <xf numFmtId="1" fontId="15" fillId="12" borderId="20" xfId="0" applyNumberFormat="1" applyFont="1" applyFill="1" applyBorder="1" applyProtection="1">
      <protection locked="0"/>
    </xf>
    <xf numFmtId="1" fontId="15" fillId="12" borderId="19" xfId="0" applyNumberFormat="1" applyFont="1" applyFill="1" applyBorder="1" applyProtection="1">
      <protection locked="0"/>
    </xf>
    <xf numFmtId="1" fontId="15" fillId="12" borderId="21" xfId="0" applyNumberFormat="1" applyFont="1" applyFill="1" applyBorder="1" applyProtection="1">
      <protection locked="0"/>
    </xf>
    <xf numFmtId="0" fontId="0" fillId="0" borderId="0" xfId="0" quotePrefix="1"/>
    <xf numFmtId="0" fontId="0" fillId="0" borderId="1" xfId="0" applyBorder="1"/>
    <xf numFmtId="1" fontId="0" fillId="0" borderId="0" xfId="0" applyNumberFormat="1"/>
    <xf numFmtId="0" fontId="11" fillId="0" borderId="0" xfId="0" applyFont="1"/>
    <xf numFmtId="0" fontId="11" fillId="14" borderId="0" xfId="0" applyFont="1" applyFill="1"/>
    <xf numFmtId="0" fontId="11" fillId="13" borderId="0" xfId="0" applyFont="1" applyFill="1"/>
    <xf numFmtId="0" fontId="20" fillId="0" borderId="5" xfId="0" applyFont="1" applyBorder="1" applyAlignment="1">
      <alignment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9" xfId="0" applyFont="1" applyBorder="1" applyAlignment="1">
      <alignment wrapText="1"/>
    </xf>
    <xf numFmtId="1" fontId="15" fillId="12" borderId="25" xfId="0" applyNumberFormat="1" applyFont="1" applyFill="1" applyBorder="1" applyProtection="1">
      <protection locked="0"/>
    </xf>
    <xf numFmtId="1" fontId="15" fillId="12" borderId="26" xfId="0" applyNumberFormat="1" applyFont="1" applyFill="1" applyBorder="1" applyProtection="1">
      <protection locked="0"/>
    </xf>
    <xf numFmtId="1" fontId="11" fillId="14" borderId="0" xfId="0" applyNumberFormat="1" applyFont="1" applyFill="1"/>
    <xf numFmtId="1" fontId="11" fillId="13" borderId="0" xfId="0" applyNumberFormat="1" applyFont="1" applyFill="1"/>
    <xf numFmtId="0" fontId="15" fillId="0" borderId="21" xfId="0" applyFont="1" applyBorder="1" applyAlignment="1">
      <alignment wrapText="1"/>
    </xf>
    <xf numFmtId="1" fontId="15" fillId="12" borderId="27" xfId="0" applyNumberFormat="1" applyFont="1" applyFill="1" applyBorder="1" applyProtection="1">
      <protection locked="0"/>
    </xf>
    <xf numFmtId="1" fontId="15" fillId="12" borderId="28" xfId="0" applyNumberFormat="1" applyFont="1" applyFill="1" applyBorder="1" applyProtection="1">
      <protection locked="0"/>
    </xf>
    <xf numFmtId="1" fontId="15" fillId="12" borderId="29" xfId="0" applyNumberFormat="1" applyFont="1" applyFill="1" applyBorder="1" applyProtection="1">
      <protection locked="0"/>
    </xf>
    <xf numFmtId="0" fontId="15" fillId="0" borderId="18" xfId="0" applyFont="1" applyBorder="1" applyAlignment="1">
      <alignment horizontal="center" vertical="center" wrapText="1"/>
    </xf>
    <xf numFmtId="0" fontId="15" fillId="0" borderId="30" xfId="0" applyFont="1" applyBorder="1" applyAlignment="1">
      <alignment wrapText="1"/>
    </xf>
    <xf numFmtId="0" fontId="11" fillId="0" borderId="0" xfId="0" applyFont="1" applyAlignment="1">
      <alignment vertical="center"/>
    </xf>
    <xf numFmtId="0" fontId="0" fillId="0" borderId="0" xfId="0" applyAlignment="1"/>
    <xf numFmtId="1" fontId="15" fillId="0" borderId="1" xfId="0" applyNumberFormat="1" applyFont="1" applyBorder="1" applyAlignment="1">
      <alignment horizontal="center" wrapText="1"/>
    </xf>
    <xf numFmtId="1" fontId="15" fillId="12" borderId="1" xfId="0" applyNumberFormat="1" applyFont="1" applyFill="1" applyBorder="1" applyAlignment="1" applyProtection="1">
      <alignment horizontal="center"/>
      <protection locked="0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0" fillId="0" borderId="9" xfId="0" applyFill="1" applyBorder="1"/>
    <xf numFmtId="0" fontId="0" fillId="0" borderId="0" xfId="0" applyFont="1"/>
    <xf numFmtId="0" fontId="3" fillId="15" borderId="1" xfId="0" applyFont="1" applyFill="1" applyBorder="1" applyAlignment="1" applyProtection="1">
      <alignment horizontal="center" vertical="center" wrapText="1"/>
    </xf>
    <xf numFmtId="0" fontId="12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3" fillId="13" borderId="3" xfId="0" applyFont="1" applyFill="1" applyBorder="1" applyAlignment="1" applyProtection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0" xfId="0" applyFill="1"/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Fill="1"/>
    <xf numFmtId="0" fontId="1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0" xfId="0" applyFont="1"/>
    <xf numFmtId="0" fontId="0" fillId="7" borderId="1" xfId="0" applyFill="1" applyBorder="1"/>
    <xf numFmtId="14" fontId="0" fillId="7" borderId="1" xfId="0" applyNumberFormat="1" applyFill="1" applyBorder="1"/>
    <xf numFmtId="0" fontId="0" fillId="16" borderId="0" xfId="0" applyFill="1"/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11" fillId="17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0" fillId="0" borderId="0" xfId="0" applyAlignment="1">
      <alignment horizontal="center" vertical="center"/>
    </xf>
    <xf numFmtId="0" fontId="3" fillId="5" borderId="13" xfId="0" applyFont="1" applyFill="1" applyBorder="1" applyAlignment="1" applyProtection="1">
      <alignment horizontal="right" vertical="center" wrapText="1"/>
    </xf>
    <xf numFmtId="0" fontId="3" fillId="5" borderId="14" xfId="0" applyFont="1" applyFill="1" applyBorder="1" applyAlignment="1" applyProtection="1">
      <alignment vertical="center" wrapText="1"/>
    </xf>
    <xf numFmtId="0" fontId="3" fillId="5" borderId="3" xfId="0" applyFont="1" applyFill="1" applyBorder="1" applyAlignment="1" applyProtection="1">
      <alignment vertical="center"/>
    </xf>
    <xf numFmtId="0" fontId="4" fillId="5" borderId="3" xfId="0" applyFont="1" applyFill="1" applyBorder="1" applyAlignment="1" applyProtection="1">
      <alignment vertical="center"/>
    </xf>
    <xf numFmtId="14" fontId="10" fillId="0" borderId="1" xfId="0" applyNumberFormat="1" applyFont="1" applyBorder="1" applyAlignment="1">
      <alignment horizontal="center"/>
    </xf>
    <xf numFmtId="20" fontId="10" fillId="0" borderId="1" xfId="0" applyNumberFormat="1" applyFont="1" applyBorder="1" applyAlignment="1">
      <alignment horizontal="center"/>
    </xf>
    <xf numFmtId="0" fontId="9" fillId="0" borderId="0" xfId="1" applyFont="1" applyFill="1" applyBorder="1" applyAlignment="1" applyProtection="1">
      <alignment vertical="center" wrapText="1"/>
    </xf>
    <xf numFmtId="17" fontId="9" fillId="0" borderId="0" xfId="1" applyNumberFormat="1" applyFont="1" applyFill="1" applyBorder="1" applyAlignment="1" applyProtection="1">
      <alignment vertical="center" wrapText="1"/>
    </xf>
    <xf numFmtId="0" fontId="9" fillId="18" borderId="0" xfId="1" applyFont="1" applyFill="1" applyBorder="1" applyAlignment="1" applyProtection="1">
      <alignment vertical="center"/>
    </xf>
    <xf numFmtId="0" fontId="9" fillId="19" borderId="0" xfId="1" applyFont="1" applyFill="1" applyBorder="1" applyAlignment="1" applyProtection="1">
      <alignment vertical="center" wrapText="1"/>
    </xf>
    <xf numFmtId="0" fontId="22" fillId="18" borderId="0" xfId="1" applyFont="1" applyFill="1" applyBorder="1" applyAlignment="1" applyProtection="1">
      <alignment vertical="center" wrapText="1"/>
    </xf>
    <xf numFmtId="0" fontId="2" fillId="10" borderId="0" xfId="2" applyFill="1" applyBorder="1" applyAlignment="1" applyProtection="1">
      <alignment horizontal="center" vertical="center" wrapText="1"/>
    </xf>
    <xf numFmtId="0" fontId="2" fillId="10" borderId="0" xfId="2" applyFill="1" applyBorder="1" applyAlignment="1" applyProtection="1">
      <alignment vertical="center" wrapText="1"/>
    </xf>
    <xf numFmtId="0" fontId="0" fillId="10" borderId="0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20" fontId="0" fillId="0" borderId="1" xfId="0" applyNumberForma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0" fontId="10" fillId="0" borderId="1" xfId="0" applyFont="1" applyBorder="1"/>
    <xf numFmtId="14" fontId="11" fillId="0" borderId="1" xfId="0" applyNumberFormat="1" applyFont="1" applyBorder="1" applyAlignment="1">
      <alignment horizontal="center"/>
    </xf>
    <xf numFmtId="20" fontId="11" fillId="0" borderId="1" xfId="0" applyNumberFormat="1" applyFont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20" fontId="25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0" xfId="0" applyFill="1" applyBorder="1"/>
    <xf numFmtId="0" fontId="11" fillId="0" borderId="0" xfId="0" applyFont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11" fillId="17" borderId="0" xfId="0" applyFont="1" applyFill="1" applyBorder="1" applyAlignment="1">
      <alignment horizontal="center" vertical="center"/>
    </xf>
    <xf numFmtId="1" fontId="15" fillId="18" borderId="16" xfId="0" applyNumberFormat="1" applyFont="1" applyFill="1" applyBorder="1" applyProtection="1">
      <protection locked="0"/>
    </xf>
    <xf numFmtId="0" fontId="0" fillId="0" borderId="0" xfId="0" applyBorder="1"/>
    <xf numFmtId="2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7" borderId="0" xfId="0" applyFill="1" applyBorder="1" applyAlignment="1">
      <alignment horizontal="center" vertical="center"/>
    </xf>
    <xf numFmtId="0" fontId="11" fillId="0" borderId="0" xfId="0" applyFont="1" applyFill="1" applyBorder="1"/>
    <xf numFmtId="0" fontId="11" fillId="0" borderId="9" xfId="0" applyFont="1" applyBorder="1"/>
    <xf numFmtId="14" fontId="0" fillId="0" borderId="0" xfId="0" applyNumberFormat="1" applyBorder="1"/>
    <xf numFmtId="0" fontId="11" fillId="0" borderId="33" xfId="0" applyFont="1" applyBorder="1" applyAlignment="1">
      <alignment horizontal="center"/>
    </xf>
    <xf numFmtId="0" fontId="0" fillId="0" borderId="33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3" fillId="5" borderId="3" xfId="0" applyFont="1" applyFill="1" applyBorder="1" applyAlignment="1" applyProtection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</xf>
    <xf numFmtId="0" fontId="3" fillId="5" borderId="3" xfId="0" applyFont="1" applyFill="1" applyBorder="1" applyAlignment="1" applyProtection="1">
      <alignment horizontal="center" vertical="center" textRotation="90" wrapText="1"/>
    </xf>
    <xf numFmtId="0" fontId="3" fillId="5" borderId="1" xfId="0" applyFont="1" applyFill="1" applyBorder="1" applyAlignment="1" applyProtection="1">
      <alignment horizontal="center" vertical="center" textRotation="90" wrapText="1"/>
    </xf>
    <xf numFmtId="0" fontId="3" fillId="4" borderId="3" xfId="0" applyFont="1" applyFill="1" applyBorder="1" applyAlignment="1" applyProtection="1">
      <alignment horizontal="center" vertical="center" textRotation="90" wrapText="1"/>
    </xf>
    <xf numFmtId="0" fontId="3" fillId="4" borderId="1" xfId="0" applyFont="1" applyFill="1" applyBorder="1" applyAlignment="1" applyProtection="1">
      <alignment horizontal="center" vertical="center" textRotation="90" wrapText="1"/>
    </xf>
    <xf numFmtId="0" fontId="3" fillId="5" borderId="13" xfId="0" applyFont="1" applyFill="1" applyBorder="1" applyAlignment="1" applyProtection="1">
      <alignment horizontal="center" vertical="center" wrapText="1"/>
    </xf>
    <xf numFmtId="0" fontId="3" fillId="5" borderId="14" xfId="0" applyFont="1" applyFill="1" applyBorder="1" applyAlignment="1" applyProtection="1">
      <alignment horizontal="center" vertical="center" wrapText="1"/>
    </xf>
    <xf numFmtId="0" fontId="12" fillId="17" borderId="33" xfId="0" applyFont="1" applyFill="1" applyBorder="1" applyAlignment="1">
      <alignment horizontal="center" textRotation="90" wrapText="1"/>
    </xf>
    <xf numFmtId="0" fontId="12" fillId="17" borderId="3" xfId="0" applyFont="1" applyFill="1" applyBorder="1" applyAlignment="1">
      <alignment horizontal="center" textRotation="90" wrapText="1"/>
    </xf>
    <xf numFmtId="0" fontId="12" fillId="5" borderId="31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3" fillId="5" borderId="33" xfId="0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/>
    </xf>
    <xf numFmtId="1" fontId="15" fillId="0" borderId="1" xfId="0" applyNumberFormat="1" applyFont="1" applyBorder="1" applyAlignment="1">
      <alignment horizontal="left" vertical="center"/>
    </xf>
    <xf numFmtId="1" fontId="1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4" xfId="0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16" fillId="9" borderId="31" xfId="0" applyNumberFormat="1" applyFont="1" applyFill="1" applyBorder="1" applyAlignment="1">
      <alignment horizontal="center" vertical="center"/>
    </xf>
    <xf numFmtId="1" fontId="16" fillId="9" borderId="0" xfId="0" applyNumberFormat="1" applyFont="1" applyFill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6" xfId="0" applyFont="1" applyBorder="1" applyAlignment="1">
      <alignment horizontal="left" wrapText="1"/>
    </xf>
    <xf numFmtId="0" fontId="13" fillId="0" borderId="5" xfId="0" applyFont="1" applyBorder="1" applyAlignment="1">
      <alignment horizontal="left" wrapText="1"/>
    </xf>
    <xf numFmtId="1" fontId="15" fillId="0" borderId="2" xfId="0" applyNumberFormat="1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1" fontId="15" fillId="0" borderId="5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" fontId="15" fillId="9" borderId="4" xfId="0" applyNumberFormat="1" applyFont="1" applyFill="1" applyBorder="1" applyAlignment="1">
      <alignment horizontal="center" vertical="center" wrapText="1"/>
    </xf>
    <xf numFmtId="1" fontId="15" fillId="9" borderId="5" xfId="0" applyNumberFormat="1" applyFont="1" applyFill="1" applyBorder="1" applyAlignment="1">
      <alignment horizontal="center" vertical="center" wrapText="1"/>
    </xf>
    <xf numFmtId="1" fontId="15" fillId="0" borderId="6" xfId="0" applyNumberFormat="1" applyFont="1" applyBorder="1" applyAlignment="1">
      <alignment horizontal="center" vertical="center" wrapText="1"/>
    </xf>
    <xf numFmtId="1" fontId="15" fillId="9" borderId="1" xfId="0" applyNumberFormat="1" applyFont="1" applyFill="1" applyBorder="1" applyAlignment="1">
      <alignment horizontal="center" vertical="center"/>
    </xf>
    <xf numFmtId="1" fontId="15" fillId="9" borderId="2" xfId="0" applyNumberFormat="1" applyFont="1" applyFill="1" applyBorder="1" applyAlignment="1">
      <alignment horizontal="center" vertical="center" wrapText="1"/>
    </xf>
    <xf numFmtId="1" fontId="15" fillId="9" borderId="3" xfId="0" applyNumberFormat="1" applyFont="1" applyFill="1" applyBorder="1" applyAlignment="1">
      <alignment horizontal="center" vertical="center" wrapText="1"/>
    </xf>
    <xf numFmtId="1" fontId="16" fillId="7" borderId="31" xfId="0" applyNumberFormat="1" applyFont="1" applyFill="1" applyBorder="1" applyAlignment="1">
      <alignment horizontal="center" vertical="center"/>
    </xf>
    <xf numFmtId="1" fontId="13" fillId="9" borderId="7" xfId="0" applyNumberFormat="1" applyFont="1" applyFill="1" applyBorder="1" applyAlignment="1">
      <alignment horizontal="left" wrapText="1"/>
    </xf>
    <xf numFmtId="1" fontId="13" fillId="9" borderId="0" xfId="0" applyNumberFormat="1" applyFont="1" applyFill="1" applyAlignment="1">
      <alignment horizontal="left" wrapText="1"/>
    </xf>
    <xf numFmtId="1" fontId="13" fillId="9" borderId="8" xfId="0" applyNumberFormat="1" applyFont="1" applyFill="1" applyBorder="1" applyAlignment="1">
      <alignment horizontal="left" wrapText="1"/>
    </xf>
    <xf numFmtId="1" fontId="13" fillId="9" borderId="9" xfId="0" applyNumberFormat="1" applyFont="1" applyFill="1" applyBorder="1" applyAlignment="1">
      <alignment horizontal="left" wrapText="1"/>
    </xf>
    <xf numFmtId="1" fontId="15" fillId="0" borderId="10" xfId="0" applyNumberFormat="1" applyFont="1" applyBorder="1" applyAlignment="1">
      <alignment horizontal="center" vertical="center" wrapText="1"/>
    </xf>
    <xf numFmtId="1" fontId="15" fillId="0" borderId="11" xfId="0" applyNumberFormat="1" applyFont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 wrapText="1"/>
    </xf>
    <xf numFmtId="1" fontId="15" fillId="0" borderId="14" xfId="0" applyNumberFormat="1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" fontId="15" fillId="0" borderId="12" xfId="0" applyNumberFormat="1" applyFont="1" applyBorder="1" applyAlignment="1">
      <alignment horizontal="center" vertical="center" wrapText="1"/>
    </xf>
    <xf numFmtId="1" fontId="15" fillId="0" borderId="4" xfId="0" applyNumberFormat="1" applyFont="1" applyBorder="1" applyAlignment="1">
      <alignment horizontal="center" wrapText="1"/>
    </xf>
    <xf numFmtId="1" fontId="15" fillId="0" borderId="5" xfId="0" applyNumberFormat="1" applyFont="1" applyBorder="1" applyAlignment="1">
      <alignment horizontal="center" wrapText="1"/>
    </xf>
  </cellXfs>
  <cellStyles count="23">
    <cellStyle name="40% - Énfasis1" xfId="1" builtinId="31"/>
    <cellStyle name="60% - Énfasis2" xfId="2" builtinId="36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Normal" xfId="0" builtinId="0"/>
  </cellStyles>
  <dxfs count="0"/>
  <tableStyles count="0" defaultTableStyle="TableStyleMedium2" defaultPivotStyle="PivotStyleLight16"/>
  <colors>
    <mruColors>
      <color rgb="FFF5FFAB"/>
      <color rgb="FFD5C3D5"/>
      <color rgb="FFF8A0C6"/>
      <color rgb="FFFC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Violeta rojo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L209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4" sqref="I4:I182"/>
    </sheetView>
  </sheetViews>
  <sheetFormatPr baseColWidth="10" defaultRowHeight="15" x14ac:dyDescent="0.25"/>
  <cols>
    <col min="1" max="2" width="11.28515625" customWidth="1"/>
    <col min="3" max="3" width="6.5703125" customWidth="1"/>
    <col min="4" max="4" width="13.7109375" customWidth="1"/>
    <col min="5" max="5" width="46.140625" bestFit="1" customWidth="1"/>
    <col min="6" max="6" width="13.140625" customWidth="1"/>
    <col min="7" max="7" width="13.85546875" bestFit="1" customWidth="1"/>
    <col min="8" max="8" width="21" customWidth="1"/>
    <col min="10" max="10" width="18.5703125" bestFit="1" customWidth="1"/>
    <col min="11" max="11" width="6.7109375" customWidth="1"/>
    <col min="12" max="12" width="5.7109375" customWidth="1"/>
    <col min="14" max="14" width="7.42578125" customWidth="1"/>
    <col min="15" max="15" width="5.5703125" customWidth="1"/>
    <col min="16" max="16" width="5.42578125" customWidth="1"/>
    <col min="17" max="17" width="3.28515625" customWidth="1"/>
    <col min="18" max="18" width="3" customWidth="1"/>
    <col min="19" max="19" width="3.28515625" customWidth="1"/>
    <col min="20" max="20" width="2.85546875" customWidth="1"/>
    <col min="21" max="21" width="37.28515625" customWidth="1"/>
    <col min="23" max="23" width="4.140625" customWidth="1"/>
    <col min="24" max="24" width="4.5703125" customWidth="1"/>
    <col min="25" max="25" width="3.42578125" customWidth="1"/>
    <col min="26" max="26" width="3.7109375" customWidth="1"/>
    <col min="27" max="27" width="4.140625" customWidth="1"/>
    <col min="28" max="28" width="3.7109375" customWidth="1"/>
    <col min="29" max="29" width="3.42578125" customWidth="1"/>
    <col min="30" max="30" width="4.140625" customWidth="1"/>
    <col min="31" max="31" width="3.42578125" customWidth="1"/>
    <col min="32" max="32" width="4.28515625" customWidth="1"/>
    <col min="33" max="33" width="12.85546875" customWidth="1"/>
    <col min="37" max="37" width="4.42578125" customWidth="1"/>
    <col min="38" max="38" width="4.85546875" customWidth="1"/>
    <col min="39" max="39" width="5" customWidth="1"/>
    <col min="40" max="40" width="60.85546875" style="82" customWidth="1"/>
    <col min="41" max="41" width="37.7109375" customWidth="1"/>
    <col min="43" max="43" width="10" customWidth="1"/>
    <col min="44" max="44" width="14.5703125" customWidth="1"/>
    <col min="46" max="46" width="27" customWidth="1"/>
    <col min="47" max="47" width="83.7109375" style="81" bestFit="1" customWidth="1"/>
  </cols>
  <sheetData>
    <row r="1" spans="1:73" ht="32.25" x14ac:dyDescent="0.25">
      <c r="A1" s="115" t="s">
        <v>141</v>
      </c>
      <c r="B1" s="113"/>
      <c r="C1" s="113"/>
      <c r="D1" s="116"/>
      <c r="E1" s="114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8"/>
      <c r="Z1" s="118"/>
      <c r="AA1" s="118"/>
      <c r="AB1" s="118"/>
      <c r="AC1" s="118"/>
      <c r="AD1" s="118"/>
      <c r="AE1" s="118"/>
      <c r="AF1" s="118"/>
      <c r="AG1" s="119"/>
      <c r="AH1" s="119"/>
      <c r="AI1" s="119"/>
      <c r="AJ1" s="119"/>
      <c r="AK1" s="118"/>
      <c r="AL1" s="118"/>
      <c r="AM1" s="118"/>
      <c r="AN1" s="118"/>
      <c r="AO1" s="118"/>
      <c r="AP1" s="118"/>
      <c r="AQ1" s="118"/>
      <c r="AR1" s="118"/>
      <c r="AS1" s="118"/>
      <c r="AT1" s="120"/>
      <c r="AU1" s="120"/>
    </row>
    <row r="2" spans="1:73" x14ac:dyDescent="0.25">
      <c r="A2" s="155" t="s">
        <v>0</v>
      </c>
      <c r="B2" s="155" t="s">
        <v>1</v>
      </c>
      <c r="C2" s="155" t="s">
        <v>2</v>
      </c>
      <c r="D2" s="155" t="s">
        <v>3</v>
      </c>
      <c r="E2" s="155" t="s">
        <v>4</v>
      </c>
      <c r="F2" s="155" t="s">
        <v>5</v>
      </c>
      <c r="G2" s="155" t="s">
        <v>6</v>
      </c>
      <c r="H2" s="155" t="s">
        <v>7</v>
      </c>
      <c r="I2" s="155" t="s">
        <v>8</v>
      </c>
      <c r="J2" s="161" t="s">
        <v>9</v>
      </c>
      <c r="K2" s="107" t="s">
        <v>108</v>
      </c>
      <c r="L2" s="108" t="s">
        <v>109</v>
      </c>
      <c r="M2" s="162" t="s">
        <v>10</v>
      </c>
      <c r="N2" s="155">
        <v>2480</v>
      </c>
      <c r="O2" s="155" t="s">
        <v>11</v>
      </c>
      <c r="P2" s="155" t="s">
        <v>12</v>
      </c>
      <c r="Q2" s="157" t="s">
        <v>13</v>
      </c>
      <c r="R2" s="157" t="s">
        <v>14</v>
      </c>
      <c r="S2" s="157" t="s">
        <v>15</v>
      </c>
      <c r="T2" s="157" t="s">
        <v>16</v>
      </c>
      <c r="U2" s="155" t="s">
        <v>17</v>
      </c>
      <c r="V2" s="157" t="s">
        <v>18</v>
      </c>
      <c r="W2" s="109" t="s">
        <v>19</v>
      </c>
      <c r="X2" s="109"/>
      <c r="Y2" s="159" t="s">
        <v>20</v>
      </c>
      <c r="Z2" s="159" t="s">
        <v>21</v>
      </c>
      <c r="AA2" s="157" t="s">
        <v>22</v>
      </c>
      <c r="AB2" s="157" t="s">
        <v>23</v>
      </c>
      <c r="AC2" s="157" t="s">
        <v>24</v>
      </c>
      <c r="AD2" s="159" t="s">
        <v>25</v>
      </c>
      <c r="AE2" s="157" t="s">
        <v>26</v>
      </c>
      <c r="AF2" s="157" t="s">
        <v>27</v>
      </c>
      <c r="AG2" s="109" t="s">
        <v>28</v>
      </c>
      <c r="AH2" s="109"/>
      <c r="AI2" s="110" t="s">
        <v>29</v>
      </c>
      <c r="AJ2" s="110"/>
      <c r="AK2" s="157" t="s">
        <v>30</v>
      </c>
      <c r="AL2" s="157" t="s">
        <v>38</v>
      </c>
      <c r="AM2" s="157" t="s">
        <v>39</v>
      </c>
      <c r="AN2" s="155" t="s">
        <v>31</v>
      </c>
      <c r="AO2" s="155" t="s">
        <v>87</v>
      </c>
      <c r="AP2" s="169" t="s">
        <v>86</v>
      </c>
      <c r="AQ2" s="163" t="s">
        <v>120</v>
      </c>
      <c r="AR2" s="155" t="s">
        <v>32</v>
      </c>
      <c r="AS2" s="155" t="s">
        <v>33</v>
      </c>
      <c r="AT2" s="167" t="s">
        <v>40</v>
      </c>
      <c r="AU2" s="165" t="s">
        <v>116</v>
      </c>
    </row>
    <row r="3" spans="1:73" ht="123.75" customHeight="1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76" t="s">
        <v>88</v>
      </c>
      <c r="L3" s="76" t="s">
        <v>89</v>
      </c>
      <c r="M3" s="156"/>
      <c r="N3" s="156"/>
      <c r="O3" s="156"/>
      <c r="P3" s="156"/>
      <c r="Q3" s="158"/>
      <c r="R3" s="158"/>
      <c r="S3" s="158"/>
      <c r="T3" s="158"/>
      <c r="U3" s="156"/>
      <c r="V3" s="158"/>
      <c r="W3" s="3" t="s">
        <v>34</v>
      </c>
      <c r="X3" s="3" t="s">
        <v>35</v>
      </c>
      <c r="Y3" s="160"/>
      <c r="Z3" s="160"/>
      <c r="AA3" s="158"/>
      <c r="AB3" s="158"/>
      <c r="AC3" s="158"/>
      <c r="AD3" s="160"/>
      <c r="AE3" s="158"/>
      <c r="AF3" s="158"/>
      <c r="AG3" s="4" t="s">
        <v>36</v>
      </c>
      <c r="AH3" s="5" t="s">
        <v>37</v>
      </c>
      <c r="AI3" s="4" t="s">
        <v>36</v>
      </c>
      <c r="AJ3" s="6" t="s">
        <v>85</v>
      </c>
      <c r="AK3" s="158"/>
      <c r="AL3" s="158"/>
      <c r="AM3" s="158"/>
      <c r="AN3" s="156"/>
      <c r="AO3" s="156"/>
      <c r="AP3" s="155"/>
      <c r="AQ3" s="164"/>
      <c r="AR3" s="156"/>
      <c r="AS3" s="156"/>
      <c r="AT3" s="168"/>
      <c r="AU3" s="166"/>
    </row>
    <row r="4" spans="1:73" x14ac:dyDescent="0.25">
      <c r="A4" s="1">
        <v>1</v>
      </c>
      <c r="B4" s="79">
        <v>45901</v>
      </c>
      <c r="C4" s="80">
        <v>0.41388888888888892</v>
      </c>
      <c r="D4" s="81"/>
      <c r="E4" s="81"/>
      <c r="F4" s="81"/>
      <c r="G4" s="81" t="s">
        <v>133</v>
      </c>
      <c r="H4" s="81" t="s">
        <v>134</v>
      </c>
      <c r="I4" s="79"/>
      <c r="J4" s="81" t="s">
        <v>129</v>
      </c>
      <c r="K4" s="81">
        <v>38</v>
      </c>
      <c r="L4" s="81">
        <v>2</v>
      </c>
      <c r="M4" s="81" t="s">
        <v>113</v>
      </c>
      <c r="N4" s="81">
        <v>3450</v>
      </c>
      <c r="O4" s="81">
        <v>50</v>
      </c>
      <c r="P4" s="81">
        <v>35.5</v>
      </c>
      <c r="Q4" s="81">
        <v>4</v>
      </c>
      <c r="R4" s="81" t="s">
        <v>110</v>
      </c>
      <c r="S4" s="81" t="s">
        <v>110</v>
      </c>
      <c r="T4" s="81" t="s">
        <v>110</v>
      </c>
      <c r="U4" s="81" t="s">
        <v>130</v>
      </c>
      <c r="V4" s="1"/>
      <c r="W4" s="81">
        <v>8</v>
      </c>
      <c r="X4" s="81">
        <v>9</v>
      </c>
      <c r="Y4" s="81" t="s">
        <v>111</v>
      </c>
      <c r="Z4" s="81" t="s">
        <v>111</v>
      </c>
      <c r="AA4" s="81" t="s">
        <v>111</v>
      </c>
      <c r="AB4" s="81" t="s">
        <v>110</v>
      </c>
      <c r="AC4" s="81" t="s">
        <v>111</v>
      </c>
      <c r="AD4" s="81" t="s">
        <v>110</v>
      </c>
      <c r="AE4" s="81" t="s">
        <v>111</v>
      </c>
      <c r="AF4" s="81" t="s">
        <v>111</v>
      </c>
      <c r="AG4" s="81" t="s">
        <v>142</v>
      </c>
      <c r="AH4" s="81" t="s">
        <v>111</v>
      </c>
      <c r="AI4" s="81" t="s">
        <v>125</v>
      </c>
      <c r="AJ4" s="81" t="s">
        <v>111</v>
      </c>
      <c r="AK4" s="81">
        <v>27</v>
      </c>
      <c r="AL4" s="81" t="s">
        <v>111</v>
      </c>
      <c r="AM4" s="81" t="s">
        <v>111</v>
      </c>
      <c r="AN4" s="81" t="s">
        <v>136</v>
      </c>
      <c r="AO4" s="81" t="s">
        <v>111</v>
      </c>
      <c r="AP4" s="81"/>
      <c r="AQ4" s="102" t="s">
        <v>110</v>
      </c>
      <c r="AR4" s="81" t="s">
        <v>131</v>
      </c>
      <c r="AS4" s="81"/>
      <c r="AT4" s="87" t="s">
        <v>110</v>
      </c>
    </row>
    <row r="5" spans="1:73" x14ac:dyDescent="0.25">
      <c r="A5" s="1">
        <v>2</v>
      </c>
      <c r="B5" s="79">
        <v>45901</v>
      </c>
      <c r="C5" s="80">
        <v>0.49305555555555558</v>
      </c>
      <c r="D5" s="81"/>
      <c r="E5" s="81"/>
      <c r="F5" s="81"/>
      <c r="G5" s="81" t="s">
        <v>144</v>
      </c>
      <c r="H5" s="81" t="s">
        <v>128</v>
      </c>
      <c r="I5" s="79"/>
      <c r="J5" s="81" t="s">
        <v>129</v>
      </c>
      <c r="K5" s="81">
        <v>39</v>
      </c>
      <c r="L5" s="81">
        <v>2</v>
      </c>
      <c r="M5" s="81" t="s">
        <v>113</v>
      </c>
      <c r="N5" s="81">
        <v>3350</v>
      </c>
      <c r="O5" s="81">
        <v>50</v>
      </c>
      <c r="P5" s="81">
        <v>35</v>
      </c>
      <c r="Q5" s="81">
        <v>4</v>
      </c>
      <c r="R5" s="81" t="s">
        <v>110</v>
      </c>
      <c r="S5" s="81" t="s">
        <v>110</v>
      </c>
      <c r="T5" s="81" t="s">
        <v>110</v>
      </c>
      <c r="U5" s="81" t="s">
        <v>130</v>
      </c>
      <c r="V5" s="1"/>
      <c r="W5" s="81">
        <v>8</v>
      </c>
      <c r="X5" s="81">
        <v>9</v>
      </c>
      <c r="Y5" s="81" t="s">
        <v>111</v>
      </c>
      <c r="Z5" s="81" t="s">
        <v>111</v>
      </c>
      <c r="AA5" s="81" t="s">
        <v>111</v>
      </c>
      <c r="AB5" s="81" t="s">
        <v>110</v>
      </c>
      <c r="AC5" s="81" t="s">
        <v>111</v>
      </c>
      <c r="AD5" s="81" t="s">
        <v>110</v>
      </c>
      <c r="AE5" s="81" t="s">
        <v>111</v>
      </c>
      <c r="AF5" s="81" t="s">
        <v>111</v>
      </c>
      <c r="AG5" s="81" t="s">
        <v>142</v>
      </c>
      <c r="AH5" s="81" t="s">
        <v>111</v>
      </c>
      <c r="AI5" s="81" t="s">
        <v>125</v>
      </c>
      <c r="AJ5" s="81" t="s">
        <v>111</v>
      </c>
      <c r="AK5" s="81">
        <v>25</v>
      </c>
      <c r="AL5" s="81" t="s">
        <v>111</v>
      </c>
      <c r="AM5" s="81" t="s">
        <v>111</v>
      </c>
      <c r="AN5" s="81" t="s">
        <v>138</v>
      </c>
      <c r="AO5" s="81" t="s">
        <v>111</v>
      </c>
      <c r="AP5" s="81"/>
      <c r="AQ5" s="102" t="s">
        <v>110</v>
      </c>
      <c r="AR5" s="81" t="s">
        <v>131</v>
      </c>
      <c r="AS5" s="81"/>
      <c r="AT5" s="87" t="s">
        <v>110</v>
      </c>
    </row>
    <row r="6" spans="1:73" x14ac:dyDescent="0.25">
      <c r="A6" s="1">
        <v>3</v>
      </c>
      <c r="B6" s="79">
        <v>45901</v>
      </c>
      <c r="C6" s="80">
        <v>0.63750000000000007</v>
      </c>
      <c r="D6" s="81"/>
      <c r="E6" s="81"/>
      <c r="F6" s="81"/>
      <c r="G6" s="81" t="s">
        <v>114</v>
      </c>
      <c r="H6" s="81" t="s">
        <v>128</v>
      </c>
      <c r="I6" s="79"/>
      <c r="J6" s="81" t="s">
        <v>122</v>
      </c>
      <c r="K6" s="81">
        <v>39</v>
      </c>
      <c r="L6" s="81">
        <v>1</v>
      </c>
      <c r="M6" s="81" t="s">
        <v>123</v>
      </c>
      <c r="N6" s="81">
        <v>3270</v>
      </c>
      <c r="O6" s="81">
        <v>49</v>
      </c>
      <c r="P6" s="81">
        <v>33</v>
      </c>
      <c r="Q6" s="81">
        <v>4</v>
      </c>
      <c r="R6" s="81" t="s">
        <v>111</v>
      </c>
      <c r="S6" s="81" t="s">
        <v>110</v>
      </c>
      <c r="T6" s="81" t="s">
        <v>110</v>
      </c>
      <c r="U6" s="81" t="s">
        <v>132</v>
      </c>
      <c r="V6" s="1"/>
      <c r="W6" s="81">
        <v>8</v>
      </c>
      <c r="X6" s="81">
        <v>9</v>
      </c>
      <c r="Y6" s="81" t="s">
        <v>111</v>
      </c>
      <c r="Z6" s="81" t="s">
        <v>111</v>
      </c>
      <c r="AA6" s="81" t="s">
        <v>111</v>
      </c>
      <c r="AB6" s="81" t="s">
        <v>143</v>
      </c>
      <c r="AC6" s="81" t="s">
        <v>111</v>
      </c>
      <c r="AD6" s="81" t="s">
        <v>110</v>
      </c>
      <c r="AE6" s="81" t="s">
        <v>111</v>
      </c>
      <c r="AF6" s="81" t="s">
        <v>111</v>
      </c>
      <c r="AG6" s="81" t="s">
        <v>142</v>
      </c>
      <c r="AH6" s="81" t="s">
        <v>111</v>
      </c>
      <c r="AI6" s="81" t="s">
        <v>125</v>
      </c>
      <c r="AJ6" s="81" t="s">
        <v>111</v>
      </c>
      <c r="AK6" s="81">
        <v>32</v>
      </c>
      <c r="AL6" s="81" t="s">
        <v>110</v>
      </c>
      <c r="AM6" s="81" t="s">
        <v>111</v>
      </c>
      <c r="AN6" s="81" t="s">
        <v>145</v>
      </c>
      <c r="AO6" s="81" t="s">
        <v>111</v>
      </c>
      <c r="AP6" s="81"/>
      <c r="AQ6" s="102" t="s">
        <v>111</v>
      </c>
      <c r="AR6" s="81" t="s">
        <v>137</v>
      </c>
      <c r="AS6" s="81"/>
      <c r="AT6" s="87"/>
    </row>
    <row r="7" spans="1:73" x14ac:dyDescent="0.25">
      <c r="A7" s="1">
        <v>4</v>
      </c>
      <c r="B7" s="79">
        <v>45901</v>
      </c>
      <c r="C7" s="80">
        <v>0.84305555555555556</v>
      </c>
      <c r="D7" s="81"/>
      <c r="E7" s="81"/>
      <c r="F7" s="81"/>
      <c r="G7" s="81" t="s">
        <v>114</v>
      </c>
      <c r="H7" s="81" t="s">
        <v>121</v>
      </c>
      <c r="I7" s="79"/>
      <c r="J7" s="81" t="s">
        <v>127</v>
      </c>
      <c r="K7" s="81">
        <v>34</v>
      </c>
      <c r="L7" s="81">
        <v>6</v>
      </c>
      <c r="M7" s="81" t="s">
        <v>123</v>
      </c>
      <c r="N7" s="81">
        <v>2470</v>
      </c>
      <c r="O7" s="81">
        <v>45</v>
      </c>
      <c r="P7" s="81">
        <v>33.5</v>
      </c>
      <c r="Q7" s="81">
        <v>4</v>
      </c>
      <c r="R7" s="81" t="s">
        <v>110</v>
      </c>
      <c r="S7" s="81" t="s">
        <v>110</v>
      </c>
      <c r="T7" s="81" t="s">
        <v>110</v>
      </c>
      <c r="U7" s="81" t="s">
        <v>124</v>
      </c>
      <c r="V7" s="1"/>
      <c r="W7" s="81">
        <v>9</v>
      </c>
      <c r="X7" s="81">
        <v>9</v>
      </c>
      <c r="Y7" s="81" t="s">
        <v>111</v>
      </c>
      <c r="Z7" s="81" t="s">
        <v>111</v>
      </c>
      <c r="AA7" s="81" t="s">
        <v>111</v>
      </c>
      <c r="AB7" s="81" t="s">
        <v>111</v>
      </c>
      <c r="AC7" s="81" t="s">
        <v>111</v>
      </c>
      <c r="AD7" s="81" t="s">
        <v>110</v>
      </c>
      <c r="AE7" s="81" t="s">
        <v>111</v>
      </c>
      <c r="AF7" s="81" t="s">
        <v>111</v>
      </c>
      <c r="AG7" s="81" t="s">
        <v>142</v>
      </c>
      <c r="AH7" s="81" t="s">
        <v>111</v>
      </c>
      <c r="AI7" s="81" t="s">
        <v>125</v>
      </c>
      <c r="AJ7" s="81" t="s">
        <v>111</v>
      </c>
      <c r="AK7" s="81">
        <v>36</v>
      </c>
      <c r="AL7" s="81" t="s">
        <v>111</v>
      </c>
      <c r="AM7" s="81" t="s">
        <v>111</v>
      </c>
      <c r="AN7" s="81" t="s">
        <v>146</v>
      </c>
      <c r="AO7" s="81" t="s">
        <v>111</v>
      </c>
      <c r="AP7" s="81"/>
      <c r="AQ7" s="102" t="s">
        <v>110</v>
      </c>
      <c r="AR7" s="81" t="s">
        <v>131</v>
      </c>
      <c r="AS7" s="81"/>
      <c r="AT7" s="87"/>
    </row>
    <row r="8" spans="1:73" x14ac:dyDescent="0.25">
      <c r="A8" s="1">
        <v>5</v>
      </c>
      <c r="B8" s="79">
        <v>45902</v>
      </c>
      <c r="C8" s="80">
        <v>0.15694444444444444</v>
      </c>
      <c r="D8" s="81"/>
      <c r="E8" s="81"/>
      <c r="F8" s="81"/>
      <c r="G8" s="81" t="s">
        <v>126</v>
      </c>
      <c r="H8" s="81" t="s">
        <v>126</v>
      </c>
      <c r="I8" s="79"/>
      <c r="J8" s="81" t="s">
        <v>122</v>
      </c>
      <c r="K8" s="81">
        <v>41</v>
      </c>
      <c r="L8" s="81">
        <v>5</v>
      </c>
      <c r="M8" s="81" t="s">
        <v>113</v>
      </c>
      <c r="N8" s="81">
        <v>4030</v>
      </c>
      <c r="O8" s="81">
        <v>50.5</v>
      </c>
      <c r="P8" s="81">
        <v>35.5</v>
      </c>
      <c r="Q8" s="81">
        <v>4</v>
      </c>
      <c r="R8" s="81" t="s">
        <v>111</v>
      </c>
      <c r="S8" s="81" t="s">
        <v>110</v>
      </c>
      <c r="T8" s="81" t="s">
        <v>110</v>
      </c>
      <c r="U8" s="81" t="s">
        <v>124</v>
      </c>
      <c r="V8" s="1"/>
      <c r="W8" s="81">
        <v>8</v>
      </c>
      <c r="X8" s="81">
        <v>9</v>
      </c>
      <c r="Y8" s="81" t="s">
        <v>111</v>
      </c>
      <c r="Z8" s="81" t="s">
        <v>111</v>
      </c>
      <c r="AA8" s="81" t="s">
        <v>111</v>
      </c>
      <c r="AB8" s="81" t="s">
        <v>111</v>
      </c>
      <c r="AC8" s="81" t="s">
        <v>111</v>
      </c>
      <c r="AD8" s="81" t="s">
        <v>110</v>
      </c>
      <c r="AE8" s="81" t="s">
        <v>111</v>
      </c>
      <c r="AF8" s="81" t="s">
        <v>111</v>
      </c>
      <c r="AG8" s="81" t="s">
        <v>142</v>
      </c>
      <c r="AH8" s="81" t="s">
        <v>111</v>
      </c>
      <c r="AI8" s="81" t="s">
        <v>125</v>
      </c>
      <c r="AJ8" s="81" t="s">
        <v>111</v>
      </c>
      <c r="AK8" s="81">
        <v>31</v>
      </c>
      <c r="AL8" s="81" t="s">
        <v>111</v>
      </c>
      <c r="AM8" s="81" t="s">
        <v>111</v>
      </c>
      <c r="AN8" s="81" t="s">
        <v>176</v>
      </c>
      <c r="AO8" s="81" t="s">
        <v>111</v>
      </c>
      <c r="AP8" s="81"/>
      <c r="AQ8" s="102" t="s">
        <v>110</v>
      </c>
      <c r="AR8" s="81" t="s">
        <v>112</v>
      </c>
      <c r="AS8" s="81"/>
      <c r="AT8" s="87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</row>
    <row r="9" spans="1:73" x14ac:dyDescent="0.25">
      <c r="A9" s="1">
        <v>6</v>
      </c>
      <c r="B9" s="79">
        <v>45902</v>
      </c>
      <c r="C9" s="80">
        <v>0.31805555555555554</v>
      </c>
      <c r="D9" s="81"/>
      <c r="E9" s="81"/>
      <c r="F9" s="81"/>
      <c r="G9" s="81" t="s">
        <v>139</v>
      </c>
      <c r="H9" s="81" t="s">
        <v>147</v>
      </c>
      <c r="I9" s="79"/>
      <c r="J9" s="81" t="s">
        <v>122</v>
      </c>
      <c r="K9" s="81">
        <v>38</v>
      </c>
      <c r="L9" s="81">
        <v>6</v>
      </c>
      <c r="M9" s="81" t="s">
        <v>113</v>
      </c>
      <c r="N9" s="81">
        <v>3660</v>
      </c>
      <c r="O9" s="81">
        <v>50.5</v>
      </c>
      <c r="P9" s="81">
        <v>35</v>
      </c>
      <c r="Q9" s="81">
        <v>4</v>
      </c>
      <c r="R9" s="81" t="s">
        <v>110</v>
      </c>
      <c r="S9" s="81" t="s">
        <v>110</v>
      </c>
      <c r="T9" s="81" t="s">
        <v>110</v>
      </c>
      <c r="U9" s="81" t="s">
        <v>135</v>
      </c>
      <c r="V9" s="1"/>
      <c r="W9" s="81">
        <v>9</v>
      </c>
      <c r="X9" s="81">
        <v>10</v>
      </c>
      <c r="Y9" s="81" t="s">
        <v>111</v>
      </c>
      <c r="Z9" s="81" t="s">
        <v>111</v>
      </c>
      <c r="AA9" s="81" t="s">
        <v>111</v>
      </c>
      <c r="AB9" s="81" t="s">
        <v>111</v>
      </c>
      <c r="AC9" s="81" t="s">
        <v>111</v>
      </c>
      <c r="AD9" s="81" t="s">
        <v>110</v>
      </c>
      <c r="AE9" s="81" t="s">
        <v>111</v>
      </c>
      <c r="AF9" s="81" t="s">
        <v>111</v>
      </c>
      <c r="AG9" s="81" t="s">
        <v>142</v>
      </c>
      <c r="AH9" s="81" t="s">
        <v>111</v>
      </c>
      <c r="AI9" s="81" t="s">
        <v>125</v>
      </c>
      <c r="AJ9" s="81" t="s">
        <v>111</v>
      </c>
      <c r="AK9" s="81">
        <v>27</v>
      </c>
      <c r="AL9" s="81" t="s">
        <v>111</v>
      </c>
      <c r="AM9" s="81" t="s">
        <v>111</v>
      </c>
      <c r="AN9" s="81" t="s">
        <v>148</v>
      </c>
      <c r="AO9" s="81" t="s">
        <v>111</v>
      </c>
      <c r="AP9" s="81"/>
      <c r="AQ9" s="102" t="s">
        <v>110</v>
      </c>
      <c r="AR9" s="81" t="s">
        <v>112</v>
      </c>
      <c r="AS9" s="81"/>
      <c r="AT9" s="87"/>
    </row>
    <row r="10" spans="1:73" x14ac:dyDescent="0.25">
      <c r="A10" s="1">
        <v>7</v>
      </c>
      <c r="B10" s="79">
        <v>45902</v>
      </c>
      <c r="C10" s="80">
        <v>0.87083333333333324</v>
      </c>
      <c r="D10" s="81"/>
      <c r="E10" s="81"/>
      <c r="F10" s="81"/>
      <c r="G10" s="81" t="s">
        <v>114</v>
      </c>
      <c r="H10" s="81" t="s">
        <v>149</v>
      </c>
      <c r="I10" s="79"/>
      <c r="J10" s="81" t="s">
        <v>122</v>
      </c>
      <c r="K10" s="81">
        <v>36</v>
      </c>
      <c r="L10" s="81">
        <v>2</v>
      </c>
      <c r="M10" s="81" t="s">
        <v>123</v>
      </c>
      <c r="N10" s="81">
        <v>2410</v>
      </c>
      <c r="O10" s="81">
        <v>45</v>
      </c>
      <c r="P10" s="81">
        <v>34</v>
      </c>
      <c r="Q10" s="81">
        <v>4</v>
      </c>
      <c r="R10" s="81" t="s">
        <v>110</v>
      </c>
      <c r="S10" s="81" t="s">
        <v>110</v>
      </c>
      <c r="T10" s="81" t="s">
        <v>110</v>
      </c>
      <c r="U10" s="81" t="s">
        <v>150</v>
      </c>
      <c r="V10" s="1"/>
      <c r="W10" s="81">
        <v>9</v>
      </c>
      <c r="X10" s="81">
        <v>10</v>
      </c>
      <c r="Y10" s="81" t="s">
        <v>111</v>
      </c>
      <c r="Z10" s="81" t="s">
        <v>111</v>
      </c>
      <c r="AA10" s="81" t="s">
        <v>111</v>
      </c>
      <c r="AB10" s="81" t="s">
        <v>111</v>
      </c>
      <c r="AC10" s="81" t="s">
        <v>111</v>
      </c>
      <c r="AD10" s="81" t="s">
        <v>110</v>
      </c>
      <c r="AE10" s="81" t="s">
        <v>111</v>
      </c>
      <c r="AF10" s="81" t="s">
        <v>111</v>
      </c>
      <c r="AG10" s="81" t="s">
        <v>142</v>
      </c>
      <c r="AH10" s="81" t="s">
        <v>111</v>
      </c>
      <c r="AI10" s="81" t="s">
        <v>125</v>
      </c>
      <c r="AJ10" s="81" t="s">
        <v>111</v>
      </c>
      <c r="AK10" s="81">
        <v>21</v>
      </c>
      <c r="AL10" s="81" t="s">
        <v>111</v>
      </c>
      <c r="AM10" s="81" t="s">
        <v>111</v>
      </c>
      <c r="AN10" s="81" t="s">
        <v>151</v>
      </c>
      <c r="AO10" s="81" t="s">
        <v>111</v>
      </c>
      <c r="AP10" s="81"/>
      <c r="AQ10" s="102" t="s">
        <v>110</v>
      </c>
      <c r="AR10" s="81" t="s">
        <v>152</v>
      </c>
      <c r="AS10" s="81"/>
      <c r="AT10" s="87"/>
    </row>
    <row r="11" spans="1:73" x14ac:dyDescent="0.25">
      <c r="A11" s="1">
        <v>8</v>
      </c>
      <c r="B11" s="79">
        <v>45903</v>
      </c>
      <c r="C11" s="80">
        <v>0.28750000000000003</v>
      </c>
      <c r="D11" s="81"/>
      <c r="E11" s="81"/>
      <c r="F11" s="81"/>
      <c r="G11" s="81" t="s">
        <v>114</v>
      </c>
      <c r="H11" s="81" t="s">
        <v>121</v>
      </c>
      <c r="I11" s="79"/>
      <c r="J11" s="81" t="s">
        <v>122</v>
      </c>
      <c r="K11" s="81">
        <v>39</v>
      </c>
      <c r="L11" s="81">
        <v>1</v>
      </c>
      <c r="M11" s="81" t="s">
        <v>123</v>
      </c>
      <c r="N11" s="81">
        <v>3875</v>
      </c>
      <c r="O11" s="81">
        <v>50</v>
      </c>
      <c r="P11" s="81">
        <v>35</v>
      </c>
      <c r="Q11" s="81">
        <v>2</v>
      </c>
      <c r="R11" s="81" t="s">
        <v>111</v>
      </c>
      <c r="S11" s="81" t="s">
        <v>110</v>
      </c>
      <c r="T11" s="81" t="s">
        <v>110</v>
      </c>
      <c r="U11" s="81" t="s">
        <v>150</v>
      </c>
      <c r="V11" s="1"/>
      <c r="W11" s="81">
        <v>9</v>
      </c>
      <c r="X11" s="81">
        <v>10</v>
      </c>
      <c r="Y11" s="81" t="s">
        <v>111</v>
      </c>
      <c r="Z11" s="81" t="s">
        <v>111</v>
      </c>
      <c r="AA11" s="81" t="s">
        <v>111</v>
      </c>
      <c r="AB11" s="81" t="s">
        <v>111</v>
      </c>
      <c r="AC11" s="81" t="s">
        <v>111</v>
      </c>
      <c r="AD11" s="81" t="s">
        <v>110</v>
      </c>
      <c r="AE11" s="81" t="s">
        <v>111</v>
      </c>
      <c r="AF11" s="81" t="s">
        <v>111</v>
      </c>
      <c r="AG11" s="81" t="s">
        <v>142</v>
      </c>
      <c r="AH11" s="81" t="s">
        <v>111</v>
      </c>
      <c r="AI11" s="81" t="s">
        <v>125</v>
      </c>
      <c r="AJ11" s="81" t="s">
        <v>111</v>
      </c>
      <c r="AK11" s="81">
        <v>42</v>
      </c>
      <c r="AL11" s="81" t="s">
        <v>111</v>
      </c>
      <c r="AM11" s="81" t="s">
        <v>111</v>
      </c>
      <c r="AN11" s="81" t="s">
        <v>153</v>
      </c>
      <c r="AO11" s="81" t="s">
        <v>111</v>
      </c>
      <c r="AP11" s="81"/>
      <c r="AQ11" s="102" t="s">
        <v>110</v>
      </c>
      <c r="AR11" s="1" t="s">
        <v>112</v>
      </c>
      <c r="AS11" s="1"/>
      <c r="AT11" s="83"/>
      <c r="AU11" s="68"/>
    </row>
    <row r="12" spans="1:73" x14ac:dyDescent="0.25">
      <c r="A12" s="1">
        <v>9</v>
      </c>
      <c r="B12" s="79">
        <v>45903</v>
      </c>
      <c r="C12" s="80">
        <v>0.4375</v>
      </c>
      <c r="D12" s="81"/>
      <c r="E12" s="81"/>
      <c r="F12" s="81"/>
      <c r="G12" s="81" t="s">
        <v>154</v>
      </c>
      <c r="H12" s="81" t="s">
        <v>154</v>
      </c>
      <c r="I12" s="79"/>
      <c r="J12" s="81" t="s">
        <v>129</v>
      </c>
      <c r="K12" s="81">
        <v>37</v>
      </c>
      <c r="L12" s="81">
        <v>6</v>
      </c>
      <c r="M12" s="81" t="s">
        <v>113</v>
      </c>
      <c r="N12" s="81">
        <v>3820</v>
      </c>
      <c r="O12" s="81">
        <v>52</v>
      </c>
      <c r="P12" s="81">
        <v>38</v>
      </c>
      <c r="Q12" s="81">
        <v>1</v>
      </c>
      <c r="R12" s="81" t="s">
        <v>110</v>
      </c>
      <c r="S12" s="81" t="s">
        <v>110</v>
      </c>
      <c r="T12" s="81" t="s">
        <v>110</v>
      </c>
      <c r="U12" s="81" t="s">
        <v>130</v>
      </c>
      <c r="V12" s="1"/>
      <c r="W12" s="81">
        <v>7</v>
      </c>
      <c r="X12" s="81">
        <v>8</v>
      </c>
      <c r="Y12" s="81" t="s">
        <v>110</v>
      </c>
      <c r="Z12" s="81" t="s">
        <v>111</v>
      </c>
      <c r="AA12" s="81" t="s">
        <v>111</v>
      </c>
      <c r="AB12" s="81" t="s">
        <v>111</v>
      </c>
      <c r="AC12" s="81" t="s">
        <v>111</v>
      </c>
      <c r="AD12" s="81" t="s">
        <v>110</v>
      </c>
      <c r="AE12" s="81" t="s">
        <v>111</v>
      </c>
      <c r="AF12" s="81" t="s">
        <v>111</v>
      </c>
      <c r="AG12" s="81" t="s">
        <v>142</v>
      </c>
      <c r="AH12" s="81" t="s">
        <v>111</v>
      </c>
      <c r="AI12" s="81" t="s">
        <v>125</v>
      </c>
      <c r="AJ12" s="81" t="s">
        <v>111</v>
      </c>
      <c r="AK12" s="81">
        <v>28</v>
      </c>
      <c r="AL12" s="81" t="s">
        <v>111</v>
      </c>
      <c r="AM12" s="81" t="s">
        <v>111</v>
      </c>
      <c r="AN12" s="81" t="s">
        <v>155</v>
      </c>
      <c r="AO12" s="81" t="s">
        <v>111</v>
      </c>
      <c r="AP12" s="81"/>
      <c r="AQ12" s="102" t="s">
        <v>110</v>
      </c>
      <c r="AR12" s="1" t="s">
        <v>131</v>
      </c>
      <c r="AS12" s="1"/>
      <c r="AT12" s="83" t="s">
        <v>111</v>
      </c>
    </row>
    <row r="13" spans="1:73" x14ac:dyDescent="0.25">
      <c r="A13" s="1">
        <v>10</v>
      </c>
      <c r="B13" s="79">
        <v>45903</v>
      </c>
      <c r="C13" s="80">
        <v>0.4375</v>
      </c>
      <c r="D13" s="81"/>
      <c r="E13" s="81"/>
      <c r="F13" s="81"/>
      <c r="G13" s="81" t="s">
        <v>156</v>
      </c>
      <c r="H13" s="81" t="s">
        <v>156</v>
      </c>
      <c r="I13" s="79"/>
      <c r="J13" s="81" t="s">
        <v>41</v>
      </c>
      <c r="K13" s="81">
        <v>40</v>
      </c>
      <c r="L13" s="81">
        <v>4</v>
      </c>
      <c r="M13" s="81" t="s">
        <v>123</v>
      </c>
      <c r="N13" s="81">
        <v>3310</v>
      </c>
      <c r="O13" s="81">
        <v>51.5</v>
      </c>
      <c r="P13" s="81">
        <v>35.5</v>
      </c>
      <c r="Q13" s="81">
        <v>4</v>
      </c>
      <c r="R13" s="81" t="s">
        <v>110</v>
      </c>
      <c r="S13" s="81" t="s">
        <v>110</v>
      </c>
      <c r="T13" s="81" t="s">
        <v>110</v>
      </c>
      <c r="U13" s="81" t="s">
        <v>157</v>
      </c>
      <c r="V13" s="1"/>
      <c r="W13" s="81">
        <v>8</v>
      </c>
      <c r="X13" s="81">
        <v>9</v>
      </c>
      <c r="Y13" s="81" t="s">
        <v>111</v>
      </c>
      <c r="Z13" s="81" t="s">
        <v>111</v>
      </c>
      <c r="AA13" s="81" t="s">
        <v>111</v>
      </c>
      <c r="AB13" s="81" t="s">
        <v>111</v>
      </c>
      <c r="AC13" s="81" t="s">
        <v>111</v>
      </c>
      <c r="AD13" s="81" t="s">
        <v>111</v>
      </c>
      <c r="AE13" s="81" t="s">
        <v>111</v>
      </c>
      <c r="AF13" s="81" t="s">
        <v>111</v>
      </c>
      <c r="AG13" s="81" t="s">
        <v>142</v>
      </c>
      <c r="AH13" s="81" t="s">
        <v>111</v>
      </c>
      <c r="AI13" s="81" t="s">
        <v>125</v>
      </c>
      <c r="AJ13" s="81" t="s">
        <v>111</v>
      </c>
      <c r="AK13" s="81">
        <v>26</v>
      </c>
      <c r="AL13" s="81" t="s">
        <v>111</v>
      </c>
      <c r="AM13" s="81" t="s">
        <v>111</v>
      </c>
      <c r="AN13" s="81" t="s">
        <v>161</v>
      </c>
      <c r="AO13" s="81" t="s">
        <v>111</v>
      </c>
      <c r="AP13" s="81"/>
      <c r="AQ13" s="102" t="s">
        <v>110</v>
      </c>
      <c r="AR13" s="1" t="s">
        <v>112</v>
      </c>
      <c r="AS13" s="1"/>
      <c r="AT13" s="83"/>
    </row>
    <row r="14" spans="1:73" x14ac:dyDescent="0.25">
      <c r="A14" s="1">
        <v>11</v>
      </c>
      <c r="B14" s="79">
        <v>45903</v>
      </c>
      <c r="C14" s="80">
        <v>0.4777777777777778</v>
      </c>
      <c r="D14" s="81"/>
      <c r="E14" s="81"/>
      <c r="F14" s="81"/>
      <c r="G14" s="81" t="s">
        <v>159</v>
      </c>
      <c r="H14" s="81" t="s">
        <v>159</v>
      </c>
      <c r="I14" s="79"/>
      <c r="J14" s="81" t="s">
        <v>122</v>
      </c>
      <c r="K14" s="81">
        <v>38</v>
      </c>
      <c r="L14" s="81">
        <v>2</v>
      </c>
      <c r="M14" s="81" t="s">
        <v>123</v>
      </c>
      <c r="N14" s="81">
        <v>3330</v>
      </c>
      <c r="O14" s="81">
        <v>48.5</v>
      </c>
      <c r="P14" s="81">
        <v>34</v>
      </c>
      <c r="Q14" s="81">
        <v>4</v>
      </c>
      <c r="R14" s="81" t="s">
        <v>110</v>
      </c>
      <c r="S14" s="81" t="s">
        <v>110</v>
      </c>
      <c r="T14" s="81" t="s">
        <v>110</v>
      </c>
      <c r="U14" s="81" t="s">
        <v>157</v>
      </c>
      <c r="V14" s="1"/>
      <c r="W14" s="81">
        <v>9</v>
      </c>
      <c r="X14" s="81">
        <v>10</v>
      </c>
      <c r="Y14" s="81" t="s">
        <v>111</v>
      </c>
      <c r="Z14" s="81" t="s">
        <v>111</v>
      </c>
      <c r="AA14" s="81" t="s">
        <v>111</v>
      </c>
      <c r="AB14" s="81" t="s">
        <v>111</v>
      </c>
      <c r="AC14" s="81" t="s">
        <v>111</v>
      </c>
      <c r="AD14" s="81" t="s">
        <v>110</v>
      </c>
      <c r="AE14" s="81" t="s">
        <v>111</v>
      </c>
      <c r="AF14" s="81" t="s">
        <v>111</v>
      </c>
      <c r="AG14" s="81" t="s">
        <v>142</v>
      </c>
      <c r="AH14" s="81" t="s">
        <v>111</v>
      </c>
      <c r="AI14" s="81" t="s">
        <v>125</v>
      </c>
      <c r="AJ14" s="81" t="s">
        <v>111</v>
      </c>
      <c r="AK14" s="81">
        <v>15</v>
      </c>
      <c r="AL14" s="81" t="s">
        <v>111</v>
      </c>
      <c r="AM14" s="81" t="s">
        <v>111</v>
      </c>
      <c r="AN14" s="81" t="s">
        <v>160</v>
      </c>
      <c r="AO14" s="81" t="s">
        <v>111</v>
      </c>
      <c r="AP14" s="81"/>
      <c r="AQ14" s="102" t="s">
        <v>110</v>
      </c>
      <c r="AR14" s="1" t="s">
        <v>112</v>
      </c>
      <c r="AS14" s="1"/>
      <c r="AT14" s="83"/>
    </row>
    <row r="15" spans="1:73" x14ac:dyDescent="0.25">
      <c r="A15" s="1">
        <v>12</v>
      </c>
      <c r="B15" s="79">
        <v>45904</v>
      </c>
      <c r="C15" s="80">
        <v>4.5138888888888888E-2</v>
      </c>
      <c r="D15" s="81"/>
      <c r="E15" s="81"/>
      <c r="F15" s="81"/>
      <c r="G15" s="81" t="s">
        <v>162</v>
      </c>
      <c r="H15" s="81" t="s">
        <v>162</v>
      </c>
      <c r="I15" s="79"/>
      <c r="J15" s="81" t="s">
        <v>127</v>
      </c>
      <c r="K15" s="81">
        <v>37</v>
      </c>
      <c r="L15" s="81">
        <v>0</v>
      </c>
      <c r="M15" s="81" t="s">
        <v>123</v>
      </c>
      <c r="N15" s="81">
        <v>2350</v>
      </c>
      <c r="O15" s="81">
        <v>46</v>
      </c>
      <c r="P15" s="81">
        <v>34</v>
      </c>
      <c r="Q15" s="81">
        <v>4</v>
      </c>
      <c r="R15" s="81" t="s">
        <v>110</v>
      </c>
      <c r="S15" s="81" t="s">
        <v>110</v>
      </c>
      <c r="T15" s="81" t="s">
        <v>110</v>
      </c>
      <c r="U15" s="81" t="s">
        <v>135</v>
      </c>
      <c r="V15" s="1"/>
      <c r="W15" s="81">
        <v>8</v>
      </c>
      <c r="X15" s="81">
        <v>9</v>
      </c>
      <c r="Y15" s="81" t="s">
        <v>111</v>
      </c>
      <c r="Z15" s="81" t="s">
        <v>111</v>
      </c>
      <c r="AA15" s="81" t="s">
        <v>111</v>
      </c>
      <c r="AB15" s="81" t="s">
        <v>110</v>
      </c>
      <c r="AC15" s="81" t="s">
        <v>111</v>
      </c>
      <c r="AD15" s="81" t="s">
        <v>110</v>
      </c>
      <c r="AE15" s="81" t="s">
        <v>111</v>
      </c>
      <c r="AF15" s="81" t="s">
        <v>111</v>
      </c>
      <c r="AG15" s="81" t="s">
        <v>142</v>
      </c>
      <c r="AH15" s="81" t="s">
        <v>111</v>
      </c>
      <c r="AI15" s="81" t="s">
        <v>125</v>
      </c>
      <c r="AJ15" s="81" t="s">
        <v>111</v>
      </c>
      <c r="AK15" s="81">
        <v>24</v>
      </c>
      <c r="AL15" s="81" t="s">
        <v>111</v>
      </c>
      <c r="AM15" s="81" t="s">
        <v>111</v>
      </c>
      <c r="AN15" s="81" t="s">
        <v>163</v>
      </c>
      <c r="AO15" s="81" t="s">
        <v>111</v>
      </c>
      <c r="AP15" s="81"/>
      <c r="AQ15" s="102" t="s">
        <v>110</v>
      </c>
      <c r="AR15" s="8" t="s">
        <v>131</v>
      </c>
      <c r="AS15" s="8"/>
      <c r="AT15" s="84" t="s">
        <v>110</v>
      </c>
    </row>
    <row r="16" spans="1:73" x14ac:dyDescent="0.25">
      <c r="A16" s="1">
        <v>13</v>
      </c>
      <c r="B16" s="79">
        <v>45904</v>
      </c>
      <c r="C16" s="80">
        <v>0.31944444444444448</v>
      </c>
      <c r="D16" s="81"/>
      <c r="E16" s="81"/>
      <c r="F16" s="81"/>
      <c r="G16" s="81" t="s">
        <v>114</v>
      </c>
      <c r="H16" s="81" t="s">
        <v>164</v>
      </c>
      <c r="I16" s="79"/>
      <c r="J16" s="81" t="s">
        <v>127</v>
      </c>
      <c r="K16" s="81">
        <v>36</v>
      </c>
      <c r="L16" s="81">
        <v>1</v>
      </c>
      <c r="M16" s="81" t="s">
        <v>123</v>
      </c>
      <c r="N16" s="81">
        <v>2250</v>
      </c>
      <c r="O16" s="81">
        <v>47.5</v>
      </c>
      <c r="P16" s="81">
        <v>34</v>
      </c>
      <c r="Q16" s="81">
        <v>4</v>
      </c>
      <c r="R16" s="81" t="s">
        <v>110</v>
      </c>
      <c r="S16" s="81" t="s">
        <v>110</v>
      </c>
      <c r="T16" s="81" t="s">
        <v>110</v>
      </c>
      <c r="U16" s="81" t="s">
        <v>135</v>
      </c>
      <c r="V16" s="1"/>
      <c r="W16" s="81">
        <v>8</v>
      </c>
      <c r="X16" s="81">
        <v>9</v>
      </c>
      <c r="Y16" s="81" t="s">
        <v>111</v>
      </c>
      <c r="Z16" s="81" t="s">
        <v>111</v>
      </c>
      <c r="AA16" s="81" t="s">
        <v>111</v>
      </c>
      <c r="AB16" s="81" t="s">
        <v>110</v>
      </c>
      <c r="AC16" s="81" t="s">
        <v>111</v>
      </c>
      <c r="AD16" s="81" t="s">
        <v>110</v>
      </c>
      <c r="AE16" s="81" t="s">
        <v>111</v>
      </c>
      <c r="AF16" s="81" t="s">
        <v>111</v>
      </c>
      <c r="AG16" s="81" t="s">
        <v>142</v>
      </c>
      <c r="AH16" s="81" t="s">
        <v>111</v>
      </c>
      <c r="AI16" s="81" t="s">
        <v>125</v>
      </c>
      <c r="AJ16" s="81" t="s">
        <v>111</v>
      </c>
      <c r="AK16" s="81">
        <v>41</v>
      </c>
      <c r="AL16" s="81" t="s">
        <v>111</v>
      </c>
      <c r="AM16" s="81" t="s">
        <v>111</v>
      </c>
      <c r="AN16" s="81" t="s">
        <v>165</v>
      </c>
      <c r="AO16" s="81" t="s">
        <v>111</v>
      </c>
      <c r="AP16" s="81"/>
      <c r="AQ16" s="102" t="s">
        <v>110</v>
      </c>
      <c r="AR16" s="7" t="s">
        <v>131</v>
      </c>
      <c r="AS16" s="7"/>
      <c r="AT16" s="85" t="s">
        <v>110</v>
      </c>
    </row>
    <row r="17" spans="1:324" x14ac:dyDescent="0.25">
      <c r="A17" s="1">
        <v>14</v>
      </c>
      <c r="B17" s="79">
        <v>45904</v>
      </c>
      <c r="C17" s="80">
        <v>0.3756944444444445</v>
      </c>
      <c r="D17" s="81"/>
      <c r="E17" s="81"/>
      <c r="F17" s="81"/>
      <c r="G17" s="81" t="s">
        <v>114</v>
      </c>
      <c r="H17" s="81" t="s">
        <v>164</v>
      </c>
      <c r="I17" s="79"/>
      <c r="J17" s="81" t="s">
        <v>122</v>
      </c>
      <c r="K17" s="81">
        <v>40</v>
      </c>
      <c r="L17" s="81">
        <v>4</v>
      </c>
      <c r="M17" s="81" t="s">
        <v>113</v>
      </c>
      <c r="N17" s="81">
        <v>3095</v>
      </c>
      <c r="O17" s="81">
        <v>49</v>
      </c>
      <c r="P17" s="81">
        <v>34</v>
      </c>
      <c r="Q17" s="81">
        <v>4</v>
      </c>
      <c r="R17" s="81" t="s">
        <v>110</v>
      </c>
      <c r="S17" s="81" t="s">
        <v>110</v>
      </c>
      <c r="T17" s="81" t="s">
        <v>110</v>
      </c>
      <c r="U17" s="81" t="s">
        <v>124</v>
      </c>
      <c r="V17" s="1"/>
      <c r="W17" s="81">
        <v>9</v>
      </c>
      <c r="X17" s="81">
        <v>10</v>
      </c>
      <c r="Y17" s="81" t="s">
        <v>111</v>
      </c>
      <c r="Z17" s="81" t="s">
        <v>111</v>
      </c>
      <c r="AA17" s="81" t="s">
        <v>111</v>
      </c>
      <c r="AB17" s="81" t="s">
        <v>111</v>
      </c>
      <c r="AC17" s="81" t="s">
        <v>111</v>
      </c>
      <c r="AD17" s="81" t="s">
        <v>110</v>
      </c>
      <c r="AE17" s="81" t="s">
        <v>111</v>
      </c>
      <c r="AF17" s="81" t="s">
        <v>111</v>
      </c>
      <c r="AG17" s="81" t="s">
        <v>142</v>
      </c>
      <c r="AH17" s="81" t="s">
        <v>111</v>
      </c>
      <c r="AI17" s="81" t="s">
        <v>125</v>
      </c>
      <c r="AJ17" s="81" t="s">
        <v>111</v>
      </c>
      <c r="AK17" s="81">
        <v>24</v>
      </c>
      <c r="AL17" s="81" t="s">
        <v>111</v>
      </c>
      <c r="AM17" s="81" t="s">
        <v>111</v>
      </c>
      <c r="AN17" s="81" t="s">
        <v>158</v>
      </c>
      <c r="AO17" s="81" t="s">
        <v>111</v>
      </c>
      <c r="AP17" s="81"/>
      <c r="AQ17" s="102" t="s">
        <v>110</v>
      </c>
      <c r="AR17" s="1" t="s">
        <v>112</v>
      </c>
      <c r="AS17" s="1"/>
      <c r="AT17" s="83"/>
    </row>
    <row r="18" spans="1:324" x14ac:dyDescent="0.25">
      <c r="A18" s="1">
        <v>15</v>
      </c>
      <c r="B18" s="79">
        <v>45904</v>
      </c>
      <c r="C18" s="80">
        <v>0.45</v>
      </c>
      <c r="D18" s="81"/>
      <c r="E18" s="81"/>
      <c r="F18" s="81"/>
      <c r="G18" s="81" t="s">
        <v>114</v>
      </c>
      <c r="H18" s="81" t="s">
        <v>164</v>
      </c>
      <c r="I18" s="79"/>
      <c r="J18" s="81" t="s">
        <v>122</v>
      </c>
      <c r="K18" s="81">
        <v>38</v>
      </c>
      <c r="L18" s="81">
        <v>3</v>
      </c>
      <c r="M18" s="81" t="s">
        <v>113</v>
      </c>
      <c r="N18" s="81">
        <v>2865</v>
      </c>
      <c r="O18" s="81">
        <v>50.5</v>
      </c>
      <c r="P18" s="81">
        <v>33</v>
      </c>
      <c r="Q18" s="81">
        <v>4</v>
      </c>
      <c r="R18" s="81" t="s">
        <v>110</v>
      </c>
      <c r="S18" s="81" t="s">
        <v>110</v>
      </c>
      <c r="T18" s="81" t="s">
        <v>110</v>
      </c>
      <c r="U18" s="81" t="s">
        <v>124</v>
      </c>
      <c r="V18" s="1"/>
      <c r="W18" s="81">
        <v>9</v>
      </c>
      <c r="X18" s="81">
        <v>10</v>
      </c>
      <c r="Y18" s="81" t="s">
        <v>111</v>
      </c>
      <c r="Z18" s="81" t="s">
        <v>111</v>
      </c>
      <c r="AA18" s="81" t="s">
        <v>111</v>
      </c>
      <c r="AB18" s="81" t="s">
        <v>111</v>
      </c>
      <c r="AC18" s="81" t="s">
        <v>111</v>
      </c>
      <c r="AD18" s="81" t="s">
        <v>110</v>
      </c>
      <c r="AE18" s="81" t="s">
        <v>111</v>
      </c>
      <c r="AF18" s="81" t="s">
        <v>111</v>
      </c>
      <c r="AG18" s="81" t="s">
        <v>142</v>
      </c>
      <c r="AH18" s="81" t="s">
        <v>111</v>
      </c>
      <c r="AI18" s="81" t="s">
        <v>125</v>
      </c>
      <c r="AJ18" s="81" t="s">
        <v>111</v>
      </c>
      <c r="AK18" s="81">
        <v>29</v>
      </c>
      <c r="AL18" s="81" t="s">
        <v>111</v>
      </c>
      <c r="AM18" s="81" t="s">
        <v>111</v>
      </c>
      <c r="AN18" s="81" t="s">
        <v>160</v>
      </c>
      <c r="AO18" s="81" t="s">
        <v>111</v>
      </c>
      <c r="AP18" s="81"/>
      <c r="AQ18" s="102" t="s">
        <v>110</v>
      </c>
      <c r="AR18" s="1" t="s">
        <v>112</v>
      </c>
      <c r="AS18" s="1"/>
      <c r="AT18" s="83" t="s">
        <v>111</v>
      </c>
    </row>
    <row r="19" spans="1:324" x14ac:dyDescent="0.25">
      <c r="A19" s="1">
        <v>16</v>
      </c>
      <c r="B19" s="79">
        <v>45904</v>
      </c>
      <c r="C19" s="80">
        <v>0.45069444444444445</v>
      </c>
      <c r="D19" s="81"/>
      <c r="E19" s="81"/>
      <c r="F19" s="81"/>
      <c r="G19" s="81" t="s">
        <v>114</v>
      </c>
      <c r="H19" s="81" t="s">
        <v>164</v>
      </c>
      <c r="I19" s="79"/>
      <c r="J19" s="81" t="s">
        <v>129</v>
      </c>
      <c r="K19" s="81">
        <v>38</v>
      </c>
      <c r="L19" s="81">
        <v>2</v>
      </c>
      <c r="M19" s="81" t="s">
        <v>113</v>
      </c>
      <c r="N19" s="81">
        <v>2740</v>
      </c>
      <c r="O19" s="81">
        <v>46</v>
      </c>
      <c r="P19" s="81">
        <v>33</v>
      </c>
      <c r="Q19" s="81">
        <v>4</v>
      </c>
      <c r="R19" s="81" t="s">
        <v>110</v>
      </c>
      <c r="S19" s="81" t="s">
        <v>110</v>
      </c>
      <c r="T19" s="81" t="s">
        <v>110</v>
      </c>
      <c r="U19" s="81" t="s">
        <v>130</v>
      </c>
      <c r="V19" s="1"/>
      <c r="W19" s="81">
        <v>9</v>
      </c>
      <c r="X19" s="81">
        <v>10</v>
      </c>
      <c r="Y19" s="81" t="s">
        <v>111</v>
      </c>
      <c r="Z19" s="81" t="s">
        <v>111</v>
      </c>
      <c r="AA19" s="81" t="s">
        <v>111</v>
      </c>
      <c r="AB19" s="81" t="s">
        <v>111</v>
      </c>
      <c r="AC19" s="81" t="s">
        <v>110</v>
      </c>
      <c r="AD19" s="81" t="s">
        <v>110</v>
      </c>
      <c r="AE19" s="81" t="s">
        <v>111</v>
      </c>
      <c r="AF19" s="81" t="s">
        <v>111</v>
      </c>
      <c r="AG19" s="81" t="s">
        <v>142</v>
      </c>
      <c r="AH19" s="81" t="s">
        <v>111</v>
      </c>
      <c r="AI19" s="81" t="s">
        <v>125</v>
      </c>
      <c r="AJ19" s="81" t="s">
        <v>111</v>
      </c>
      <c r="AK19" s="81">
        <v>29</v>
      </c>
      <c r="AL19" s="81" t="s">
        <v>111</v>
      </c>
      <c r="AM19" s="81" t="s">
        <v>111</v>
      </c>
      <c r="AN19" s="81" t="s">
        <v>166</v>
      </c>
      <c r="AO19" s="81" t="s">
        <v>111</v>
      </c>
      <c r="AP19" s="81"/>
      <c r="AQ19" s="102" t="s">
        <v>110</v>
      </c>
      <c r="AR19" s="1" t="s">
        <v>131</v>
      </c>
      <c r="AS19" s="1"/>
      <c r="AT19" s="83" t="s">
        <v>111</v>
      </c>
    </row>
    <row r="20" spans="1:324" x14ac:dyDescent="0.25">
      <c r="A20" s="1">
        <v>17</v>
      </c>
      <c r="B20" s="121">
        <v>45904</v>
      </c>
      <c r="C20" s="122">
        <v>0.4916666666666667</v>
      </c>
      <c r="D20" s="92"/>
      <c r="E20" s="92"/>
      <c r="F20" s="92"/>
      <c r="G20" s="92" t="s">
        <v>114</v>
      </c>
      <c r="H20" s="92" t="s">
        <v>121</v>
      </c>
      <c r="I20" s="121"/>
      <c r="J20" s="81" t="s">
        <v>122</v>
      </c>
      <c r="K20" s="92">
        <v>39</v>
      </c>
      <c r="L20" s="92">
        <v>0</v>
      </c>
      <c r="M20" s="92" t="s">
        <v>123</v>
      </c>
      <c r="N20" s="92">
        <v>3260</v>
      </c>
      <c r="O20" s="92">
        <v>49</v>
      </c>
      <c r="P20" s="92">
        <v>34</v>
      </c>
      <c r="Q20" s="92">
        <v>4</v>
      </c>
      <c r="R20" s="92" t="s">
        <v>110</v>
      </c>
      <c r="S20" s="92" t="s">
        <v>110</v>
      </c>
      <c r="T20" s="92" t="s">
        <v>110</v>
      </c>
      <c r="U20" s="92" t="s">
        <v>124</v>
      </c>
      <c r="V20" s="68"/>
      <c r="W20" s="92">
        <v>9</v>
      </c>
      <c r="X20" s="92">
        <v>10</v>
      </c>
      <c r="Y20" s="92" t="s">
        <v>111</v>
      </c>
      <c r="Z20" s="92" t="s">
        <v>111</v>
      </c>
      <c r="AA20" s="92" t="s">
        <v>111</v>
      </c>
      <c r="AB20" s="92" t="s">
        <v>111</v>
      </c>
      <c r="AC20" s="92" t="s">
        <v>111</v>
      </c>
      <c r="AD20" s="92" t="s">
        <v>110</v>
      </c>
      <c r="AE20" s="92" t="s">
        <v>111</v>
      </c>
      <c r="AF20" s="92" t="s">
        <v>111</v>
      </c>
      <c r="AG20" s="92" t="s">
        <v>142</v>
      </c>
      <c r="AH20" s="92" t="s">
        <v>111</v>
      </c>
      <c r="AI20" s="92" t="s">
        <v>125</v>
      </c>
      <c r="AJ20" s="92" t="s">
        <v>111</v>
      </c>
      <c r="AK20" s="92">
        <v>38</v>
      </c>
      <c r="AL20" s="92" t="s">
        <v>111</v>
      </c>
      <c r="AM20" s="92" t="s">
        <v>111</v>
      </c>
      <c r="AN20" s="92" t="s">
        <v>167</v>
      </c>
      <c r="AO20" s="92" t="s">
        <v>111</v>
      </c>
      <c r="AP20" s="92"/>
      <c r="AQ20" s="102" t="s">
        <v>110</v>
      </c>
      <c r="AR20" s="68" t="s">
        <v>112</v>
      </c>
      <c r="AS20" s="68"/>
      <c r="AT20" s="86"/>
      <c r="AU20" s="92"/>
    </row>
    <row r="21" spans="1:324" x14ac:dyDescent="0.25">
      <c r="A21" s="1">
        <v>18</v>
      </c>
      <c r="B21" s="121">
        <v>45904</v>
      </c>
      <c r="C21" s="122">
        <v>0.55069444444444449</v>
      </c>
      <c r="D21" s="92"/>
      <c r="E21" s="92"/>
      <c r="F21" s="92"/>
      <c r="G21" s="92" t="s">
        <v>168</v>
      </c>
      <c r="H21" s="92" t="s">
        <v>134</v>
      </c>
      <c r="I21" s="121"/>
      <c r="J21" s="81" t="s">
        <v>127</v>
      </c>
      <c r="K21" s="92">
        <v>38</v>
      </c>
      <c r="L21" s="92">
        <v>3</v>
      </c>
      <c r="M21" s="92" t="s">
        <v>113</v>
      </c>
      <c r="N21" s="92">
        <v>3757</v>
      </c>
      <c r="O21" s="92">
        <v>50</v>
      </c>
      <c r="P21" s="92">
        <v>36.5</v>
      </c>
      <c r="Q21" s="92">
        <v>4</v>
      </c>
      <c r="R21" s="92" t="s">
        <v>110</v>
      </c>
      <c r="S21" s="92" t="s">
        <v>110</v>
      </c>
      <c r="T21" s="92" t="s">
        <v>110</v>
      </c>
      <c r="U21" s="92" t="s">
        <v>169</v>
      </c>
      <c r="V21" s="68"/>
      <c r="W21" s="92">
        <v>8</v>
      </c>
      <c r="X21" s="92">
        <v>9</v>
      </c>
      <c r="Y21" s="92" t="s">
        <v>111</v>
      </c>
      <c r="Z21" s="92" t="s">
        <v>111</v>
      </c>
      <c r="AA21" s="92" t="s">
        <v>111</v>
      </c>
      <c r="AB21" s="92" t="s">
        <v>110</v>
      </c>
      <c r="AC21" s="92" t="s">
        <v>111</v>
      </c>
      <c r="AD21" s="92" t="s">
        <v>111</v>
      </c>
      <c r="AE21" s="92" t="s">
        <v>111</v>
      </c>
      <c r="AF21" s="92" t="s">
        <v>111</v>
      </c>
      <c r="AG21" s="92" t="s">
        <v>142</v>
      </c>
      <c r="AH21" s="92" t="s">
        <v>111</v>
      </c>
      <c r="AI21" s="92" t="s">
        <v>125</v>
      </c>
      <c r="AJ21" s="92" t="s">
        <v>111</v>
      </c>
      <c r="AK21" s="92">
        <v>28</v>
      </c>
      <c r="AL21" s="92" t="s">
        <v>111</v>
      </c>
      <c r="AM21" s="92" t="s">
        <v>111</v>
      </c>
      <c r="AN21" s="92" t="s">
        <v>170</v>
      </c>
      <c r="AO21" s="92" t="s">
        <v>111</v>
      </c>
      <c r="AP21" s="92"/>
      <c r="AQ21" s="102" t="s">
        <v>110</v>
      </c>
      <c r="AR21" s="68" t="s">
        <v>131</v>
      </c>
      <c r="AS21" s="68"/>
      <c r="AT21" s="86" t="s">
        <v>110</v>
      </c>
      <c r="AU21" s="92"/>
    </row>
    <row r="22" spans="1:324" s="97" customFormat="1" x14ac:dyDescent="0.25">
      <c r="A22" s="1">
        <v>19</v>
      </c>
      <c r="B22" s="79">
        <v>45905</v>
      </c>
      <c r="C22" s="80">
        <v>0.45</v>
      </c>
      <c r="D22" s="81"/>
      <c r="E22" s="81"/>
      <c r="F22" s="81"/>
      <c r="G22" s="81" t="s">
        <v>133</v>
      </c>
      <c r="H22" s="81" t="s">
        <v>173</v>
      </c>
      <c r="I22" s="79"/>
      <c r="J22" s="81" t="s">
        <v>122</v>
      </c>
      <c r="K22" s="81">
        <v>39</v>
      </c>
      <c r="L22" s="81">
        <v>1</v>
      </c>
      <c r="M22" s="81" t="s">
        <v>113</v>
      </c>
      <c r="N22" s="81">
        <v>2970</v>
      </c>
      <c r="O22" s="81">
        <v>48</v>
      </c>
      <c r="P22" s="81">
        <v>34</v>
      </c>
      <c r="Q22" s="81">
        <v>4</v>
      </c>
      <c r="R22" s="81" t="s">
        <v>110</v>
      </c>
      <c r="S22" s="81" t="s">
        <v>110</v>
      </c>
      <c r="T22" s="81" t="s">
        <v>110</v>
      </c>
      <c r="U22" s="81" t="s">
        <v>174</v>
      </c>
      <c r="V22" s="1"/>
      <c r="W22" s="81">
        <v>9</v>
      </c>
      <c r="X22" s="81">
        <v>10</v>
      </c>
      <c r="Y22" s="81" t="s">
        <v>111</v>
      </c>
      <c r="Z22" s="81" t="s">
        <v>111</v>
      </c>
      <c r="AA22" s="81" t="s">
        <v>111</v>
      </c>
      <c r="AB22" s="81" t="s">
        <v>111</v>
      </c>
      <c r="AC22" s="81" t="s">
        <v>111</v>
      </c>
      <c r="AD22" s="81" t="s">
        <v>110</v>
      </c>
      <c r="AE22" s="81" t="s">
        <v>111</v>
      </c>
      <c r="AF22" s="81" t="s">
        <v>111</v>
      </c>
      <c r="AG22" s="81" t="s">
        <v>142</v>
      </c>
      <c r="AH22" s="81" t="s">
        <v>111</v>
      </c>
      <c r="AI22" s="81" t="s">
        <v>125</v>
      </c>
      <c r="AJ22" s="81" t="s">
        <v>111</v>
      </c>
      <c r="AK22" s="81">
        <v>32</v>
      </c>
      <c r="AL22" s="81" t="s">
        <v>111</v>
      </c>
      <c r="AM22" s="81" t="s">
        <v>111</v>
      </c>
      <c r="AN22" s="81" t="s">
        <v>175</v>
      </c>
      <c r="AO22" s="81" t="s">
        <v>111</v>
      </c>
      <c r="AP22" s="81"/>
      <c r="AQ22" s="102" t="s">
        <v>110</v>
      </c>
      <c r="AR22" s="8" t="s">
        <v>112</v>
      </c>
      <c r="AS22" s="2"/>
      <c r="AT22" s="95"/>
      <c r="AU22" s="96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</row>
    <row r="23" spans="1:324" x14ac:dyDescent="0.25">
      <c r="A23" s="1">
        <v>20</v>
      </c>
      <c r="B23" s="121">
        <v>45905</v>
      </c>
      <c r="C23" s="122">
        <v>0.45277777777777778</v>
      </c>
      <c r="D23" s="92"/>
      <c r="E23" s="92"/>
      <c r="F23" s="92"/>
      <c r="G23" s="92" t="s">
        <v>133</v>
      </c>
      <c r="H23" s="92" t="s">
        <v>171</v>
      </c>
      <c r="I23" s="121"/>
      <c r="J23" s="81" t="s">
        <v>129</v>
      </c>
      <c r="K23" s="92">
        <v>38</v>
      </c>
      <c r="L23" s="92">
        <v>0</v>
      </c>
      <c r="M23" s="92" t="s">
        <v>123</v>
      </c>
      <c r="N23" s="92">
        <v>3390</v>
      </c>
      <c r="O23" s="92">
        <v>49</v>
      </c>
      <c r="P23" s="92">
        <v>34</v>
      </c>
      <c r="Q23" s="92">
        <v>4</v>
      </c>
      <c r="R23" s="92" t="s">
        <v>110</v>
      </c>
      <c r="S23" s="92" t="s">
        <v>110</v>
      </c>
      <c r="T23" s="92" t="s">
        <v>110</v>
      </c>
      <c r="U23" s="92" t="s">
        <v>130</v>
      </c>
      <c r="V23" s="68"/>
      <c r="W23" s="92">
        <v>9</v>
      </c>
      <c r="X23" s="92">
        <v>10</v>
      </c>
      <c r="Y23" s="92" t="s">
        <v>111</v>
      </c>
      <c r="Z23" s="92" t="s">
        <v>111</v>
      </c>
      <c r="AA23" s="92" t="s">
        <v>111</v>
      </c>
      <c r="AB23" s="92" t="s">
        <v>110</v>
      </c>
      <c r="AC23" s="92" t="s">
        <v>110</v>
      </c>
      <c r="AD23" s="92" t="s">
        <v>111</v>
      </c>
      <c r="AE23" s="92" t="s">
        <v>111</v>
      </c>
      <c r="AF23" s="92" t="s">
        <v>111</v>
      </c>
      <c r="AG23" s="92" t="s">
        <v>142</v>
      </c>
      <c r="AH23" s="92" t="s">
        <v>111</v>
      </c>
      <c r="AI23" s="92" t="s">
        <v>125</v>
      </c>
      <c r="AJ23" s="92" t="s">
        <v>111</v>
      </c>
      <c r="AK23" s="92">
        <v>30</v>
      </c>
      <c r="AL23" s="92" t="s">
        <v>111</v>
      </c>
      <c r="AM23" s="92" t="s">
        <v>111</v>
      </c>
      <c r="AN23" s="92" t="s">
        <v>172</v>
      </c>
      <c r="AO23" s="92" t="s">
        <v>111</v>
      </c>
      <c r="AP23" s="92"/>
      <c r="AQ23" s="102" t="s">
        <v>110</v>
      </c>
      <c r="AR23" s="68" t="s">
        <v>131</v>
      </c>
      <c r="AS23" s="68"/>
      <c r="AT23" s="86" t="s">
        <v>110</v>
      </c>
      <c r="AU23" s="92"/>
    </row>
    <row r="24" spans="1:324" x14ac:dyDescent="0.25">
      <c r="A24" s="1">
        <v>21</v>
      </c>
      <c r="B24" s="121">
        <v>45905</v>
      </c>
      <c r="C24" s="122">
        <v>0.53680555555555554</v>
      </c>
      <c r="D24" s="92"/>
      <c r="E24" s="92"/>
      <c r="F24" s="92"/>
      <c r="G24" s="92" t="s">
        <v>114</v>
      </c>
      <c r="H24" s="92" t="s">
        <v>177</v>
      </c>
      <c r="I24" s="121"/>
      <c r="J24" s="92" t="s">
        <v>127</v>
      </c>
      <c r="K24" s="92">
        <v>40</v>
      </c>
      <c r="L24" s="92">
        <v>1</v>
      </c>
      <c r="M24" s="92" t="s">
        <v>113</v>
      </c>
      <c r="N24" s="92">
        <v>3130</v>
      </c>
      <c r="O24" s="92">
        <v>48</v>
      </c>
      <c r="P24" s="92">
        <v>34</v>
      </c>
      <c r="Q24" s="92">
        <v>4</v>
      </c>
      <c r="R24" s="92" t="s">
        <v>110</v>
      </c>
      <c r="S24" s="92" t="s">
        <v>110</v>
      </c>
      <c r="T24" s="92" t="s">
        <v>110</v>
      </c>
      <c r="U24" s="92" t="s">
        <v>130</v>
      </c>
      <c r="V24" s="68"/>
      <c r="W24" s="92">
        <v>9</v>
      </c>
      <c r="X24" s="92">
        <v>9</v>
      </c>
      <c r="Y24" s="92" t="s">
        <v>111</v>
      </c>
      <c r="Z24" s="92" t="s">
        <v>111</v>
      </c>
      <c r="AA24" s="92" t="s">
        <v>111</v>
      </c>
      <c r="AB24" s="92" t="s">
        <v>110</v>
      </c>
      <c r="AC24" s="92" t="s">
        <v>111</v>
      </c>
      <c r="AD24" s="92" t="s">
        <v>110</v>
      </c>
      <c r="AE24" s="92" t="s">
        <v>111</v>
      </c>
      <c r="AF24" s="92" t="s">
        <v>111</v>
      </c>
      <c r="AG24" s="92" t="s">
        <v>142</v>
      </c>
      <c r="AH24" s="92" t="s">
        <v>111</v>
      </c>
      <c r="AI24" s="92" t="s">
        <v>125</v>
      </c>
      <c r="AJ24" s="92" t="s">
        <v>111</v>
      </c>
      <c r="AK24" s="92">
        <v>21</v>
      </c>
      <c r="AL24" s="92" t="s">
        <v>111</v>
      </c>
      <c r="AM24" s="92" t="s">
        <v>111</v>
      </c>
      <c r="AN24" s="92" t="s">
        <v>178</v>
      </c>
      <c r="AO24" s="92" t="s">
        <v>111</v>
      </c>
      <c r="AP24" s="92"/>
      <c r="AQ24" s="102" t="s">
        <v>110</v>
      </c>
      <c r="AR24" s="68" t="s">
        <v>131</v>
      </c>
      <c r="AS24" s="68"/>
      <c r="AT24" s="86" t="s">
        <v>110</v>
      </c>
      <c r="AU24" s="92"/>
    </row>
    <row r="25" spans="1:324" x14ac:dyDescent="0.25">
      <c r="A25" s="1">
        <v>22</v>
      </c>
      <c r="B25" s="79">
        <v>45905</v>
      </c>
      <c r="C25" s="80">
        <v>0.60972222222222217</v>
      </c>
      <c r="D25" s="81"/>
      <c r="E25" s="81"/>
      <c r="F25" s="81"/>
      <c r="G25" s="81" t="s">
        <v>179</v>
      </c>
      <c r="H25" s="81" t="s">
        <v>179</v>
      </c>
      <c r="I25" s="79"/>
      <c r="J25" s="81" t="s">
        <v>122</v>
      </c>
      <c r="K25" s="81">
        <v>37</v>
      </c>
      <c r="L25" s="81">
        <v>6</v>
      </c>
      <c r="M25" s="81" t="s">
        <v>123</v>
      </c>
      <c r="N25" s="81">
        <v>3360</v>
      </c>
      <c r="O25" s="81">
        <v>48</v>
      </c>
      <c r="P25" s="81">
        <v>34.5</v>
      </c>
      <c r="Q25" s="81">
        <v>4</v>
      </c>
      <c r="R25" s="81" t="s">
        <v>110</v>
      </c>
      <c r="S25" s="81" t="s">
        <v>110</v>
      </c>
      <c r="T25" s="81" t="s">
        <v>110</v>
      </c>
      <c r="U25" s="81" t="s">
        <v>174</v>
      </c>
      <c r="V25" s="1"/>
      <c r="W25" s="81">
        <v>8</v>
      </c>
      <c r="X25" s="81">
        <v>8</v>
      </c>
      <c r="Y25" s="81" t="s">
        <v>110</v>
      </c>
      <c r="Z25" s="81" t="s">
        <v>111</v>
      </c>
      <c r="AA25" s="81" t="s">
        <v>111</v>
      </c>
      <c r="AB25" s="81" t="s">
        <v>110</v>
      </c>
      <c r="AC25" s="81" t="s">
        <v>111</v>
      </c>
      <c r="AD25" s="81" t="s">
        <v>110</v>
      </c>
      <c r="AE25" s="81" t="s">
        <v>111</v>
      </c>
      <c r="AF25" s="81" t="s">
        <v>111</v>
      </c>
      <c r="AG25" s="81" t="s">
        <v>142</v>
      </c>
      <c r="AH25" s="81" t="s">
        <v>111</v>
      </c>
      <c r="AI25" s="81" t="s">
        <v>125</v>
      </c>
      <c r="AJ25" s="81" t="s">
        <v>111</v>
      </c>
      <c r="AK25" s="81">
        <v>25</v>
      </c>
      <c r="AL25" s="81" t="s">
        <v>111</v>
      </c>
      <c r="AM25" s="81" t="s">
        <v>111</v>
      </c>
      <c r="AN25" s="81" t="s">
        <v>160</v>
      </c>
      <c r="AO25" s="81" t="s">
        <v>111</v>
      </c>
      <c r="AP25" s="81"/>
      <c r="AQ25" s="102" t="s">
        <v>110</v>
      </c>
      <c r="AR25" s="1" t="s">
        <v>112</v>
      </c>
      <c r="AS25" s="1"/>
      <c r="AT25" s="83"/>
    </row>
    <row r="26" spans="1:324" x14ac:dyDescent="0.25">
      <c r="A26" s="1">
        <v>23</v>
      </c>
      <c r="B26" s="79">
        <v>45905</v>
      </c>
      <c r="C26" s="80">
        <v>0.65625</v>
      </c>
      <c r="D26" s="81"/>
      <c r="E26" s="81"/>
      <c r="F26" s="81"/>
      <c r="G26" s="81" t="s">
        <v>147</v>
      </c>
      <c r="H26" s="81" t="s">
        <v>147</v>
      </c>
      <c r="I26" s="79"/>
      <c r="J26" s="81" t="s">
        <v>122</v>
      </c>
      <c r="K26" s="81">
        <v>39</v>
      </c>
      <c r="L26" s="81">
        <v>0</v>
      </c>
      <c r="M26" s="81" t="s">
        <v>113</v>
      </c>
      <c r="N26" s="81">
        <v>3370</v>
      </c>
      <c r="O26" s="81">
        <v>50</v>
      </c>
      <c r="P26" s="81">
        <v>34</v>
      </c>
      <c r="Q26" s="81">
        <v>4</v>
      </c>
      <c r="R26" s="81" t="s">
        <v>110</v>
      </c>
      <c r="S26" s="81" t="s">
        <v>110</v>
      </c>
      <c r="T26" s="81" t="s">
        <v>110</v>
      </c>
      <c r="U26" s="81" t="s">
        <v>174</v>
      </c>
      <c r="V26" s="1"/>
      <c r="W26" s="81">
        <v>9</v>
      </c>
      <c r="X26" s="81">
        <v>9</v>
      </c>
      <c r="Y26" s="81" t="s">
        <v>110</v>
      </c>
      <c r="Z26" s="81" t="s">
        <v>111</v>
      </c>
      <c r="AA26" s="81" t="s">
        <v>111</v>
      </c>
      <c r="AB26" s="81" t="s">
        <v>111</v>
      </c>
      <c r="AC26" s="81" t="s">
        <v>111</v>
      </c>
      <c r="AD26" s="81" t="s">
        <v>110</v>
      </c>
      <c r="AE26" s="81" t="s">
        <v>111</v>
      </c>
      <c r="AF26" s="81" t="s">
        <v>111</v>
      </c>
      <c r="AG26" s="81" t="s">
        <v>142</v>
      </c>
      <c r="AH26" s="81" t="s">
        <v>111</v>
      </c>
      <c r="AI26" s="81" t="s">
        <v>125</v>
      </c>
      <c r="AJ26" s="81" t="s">
        <v>111</v>
      </c>
      <c r="AK26" s="81">
        <v>34</v>
      </c>
      <c r="AL26" s="81" t="s">
        <v>111</v>
      </c>
      <c r="AM26" s="81" t="s">
        <v>111</v>
      </c>
      <c r="AN26" s="81" t="s">
        <v>138</v>
      </c>
      <c r="AO26" s="81" t="s">
        <v>111</v>
      </c>
      <c r="AP26" s="81"/>
      <c r="AQ26" s="102" t="s">
        <v>110</v>
      </c>
      <c r="AR26" s="1" t="s">
        <v>112</v>
      </c>
      <c r="AS26" s="1"/>
      <c r="AT26" s="83"/>
    </row>
    <row r="27" spans="1:324" x14ac:dyDescent="0.25">
      <c r="A27" s="1">
        <v>24</v>
      </c>
      <c r="B27" s="79">
        <v>45905</v>
      </c>
      <c r="C27" s="80">
        <v>0.78263888888888899</v>
      </c>
      <c r="D27" s="81"/>
      <c r="E27" s="81"/>
      <c r="F27" s="81"/>
      <c r="G27" s="81" t="s">
        <v>114</v>
      </c>
      <c r="H27" s="81" t="s">
        <v>173</v>
      </c>
      <c r="I27" s="79"/>
      <c r="J27" s="81" t="s">
        <v>127</v>
      </c>
      <c r="K27" s="81">
        <v>39</v>
      </c>
      <c r="L27" s="81">
        <v>1</v>
      </c>
      <c r="M27" s="81" t="s">
        <v>113</v>
      </c>
      <c r="N27" s="81">
        <v>3360</v>
      </c>
      <c r="O27" s="81">
        <v>48.5</v>
      </c>
      <c r="P27" s="81">
        <v>36</v>
      </c>
      <c r="Q27" s="81">
        <v>4</v>
      </c>
      <c r="R27" s="81" t="s">
        <v>110</v>
      </c>
      <c r="S27" s="81" t="s">
        <v>110</v>
      </c>
      <c r="T27" s="81" t="s">
        <v>110</v>
      </c>
      <c r="U27" s="81" t="s">
        <v>174</v>
      </c>
      <c r="V27" s="1"/>
      <c r="W27" s="81">
        <v>9</v>
      </c>
      <c r="X27" s="81">
        <v>10</v>
      </c>
      <c r="Y27" s="81" t="s">
        <v>111</v>
      </c>
      <c r="Z27" s="81" t="s">
        <v>111</v>
      </c>
      <c r="AA27" s="81" t="s">
        <v>111</v>
      </c>
      <c r="AB27" s="81" t="s">
        <v>111</v>
      </c>
      <c r="AC27" s="81" t="s">
        <v>111</v>
      </c>
      <c r="AD27" s="81" t="s">
        <v>110</v>
      </c>
      <c r="AE27" s="81" t="s">
        <v>111</v>
      </c>
      <c r="AF27" s="81" t="s">
        <v>111</v>
      </c>
      <c r="AG27" s="81" t="s">
        <v>142</v>
      </c>
      <c r="AH27" s="81" t="s">
        <v>111</v>
      </c>
      <c r="AI27" s="81" t="s">
        <v>125</v>
      </c>
      <c r="AJ27" s="81" t="s">
        <v>111</v>
      </c>
      <c r="AK27" s="81">
        <v>23</v>
      </c>
      <c r="AL27" s="81" t="s">
        <v>111</v>
      </c>
      <c r="AM27" s="81" t="s">
        <v>111</v>
      </c>
      <c r="AN27" s="81" t="s">
        <v>180</v>
      </c>
      <c r="AO27" s="81" t="s">
        <v>111</v>
      </c>
      <c r="AP27" s="81"/>
      <c r="AQ27" s="102" t="s">
        <v>110</v>
      </c>
      <c r="AR27" s="1" t="s">
        <v>131</v>
      </c>
      <c r="AS27" s="1"/>
      <c r="AT27" s="83" t="s">
        <v>110</v>
      </c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  <c r="CH27" s="97"/>
      <c r="CI27" s="97"/>
      <c r="CJ27" s="97"/>
      <c r="CK27" s="97"/>
      <c r="CL27" s="97"/>
      <c r="CM27" s="97"/>
      <c r="CN27" s="97"/>
      <c r="CO27" s="97"/>
      <c r="CP27" s="97"/>
      <c r="CQ27" s="97"/>
      <c r="CR27" s="97"/>
      <c r="CS27" s="97"/>
      <c r="CT27" s="97"/>
      <c r="CU27" s="97"/>
      <c r="CV27" s="97"/>
      <c r="CW27" s="97"/>
      <c r="CX27" s="97"/>
      <c r="CY27" s="97"/>
      <c r="CZ27" s="97"/>
      <c r="DA27" s="97"/>
      <c r="DB27" s="97"/>
      <c r="DC27" s="97"/>
      <c r="DD27" s="97"/>
      <c r="DE27" s="97"/>
      <c r="DF27" s="97"/>
      <c r="DG27" s="97"/>
      <c r="DH27" s="97"/>
      <c r="DI27" s="97"/>
      <c r="DJ27" s="97"/>
      <c r="DK27" s="97"/>
      <c r="DL27" s="97"/>
      <c r="DM27" s="97"/>
      <c r="DN27" s="97"/>
      <c r="DO27" s="97"/>
      <c r="DP27" s="97"/>
      <c r="DQ27" s="97"/>
      <c r="DR27" s="97"/>
      <c r="DS27" s="97"/>
      <c r="DT27" s="97"/>
      <c r="DU27" s="97"/>
      <c r="DV27" s="97"/>
      <c r="DW27" s="97"/>
      <c r="DX27" s="97"/>
      <c r="DY27" s="97"/>
      <c r="DZ27" s="97"/>
      <c r="EA27" s="97"/>
      <c r="EB27" s="97"/>
      <c r="EC27" s="97"/>
      <c r="ED27" s="97"/>
      <c r="EE27" s="97"/>
      <c r="EF27" s="97"/>
      <c r="EG27" s="97"/>
      <c r="EH27" s="97"/>
      <c r="EI27" s="97"/>
      <c r="EJ27" s="97"/>
      <c r="EK27" s="97"/>
      <c r="EL27" s="97"/>
      <c r="EM27" s="97"/>
      <c r="EN27" s="97"/>
      <c r="EO27" s="97"/>
      <c r="EP27" s="97"/>
      <c r="EQ27" s="97"/>
      <c r="ER27" s="97"/>
      <c r="ES27" s="97"/>
      <c r="ET27" s="97"/>
      <c r="EU27" s="97"/>
      <c r="EV27" s="97"/>
      <c r="EW27" s="97"/>
      <c r="EX27" s="97"/>
      <c r="EY27" s="97"/>
      <c r="EZ27" s="97"/>
      <c r="FA27" s="97"/>
      <c r="FB27" s="97"/>
      <c r="FC27" s="97"/>
      <c r="FD27" s="97"/>
      <c r="FE27" s="97"/>
      <c r="FF27" s="97"/>
      <c r="FG27" s="97"/>
      <c r="FH27" s="97"/>
      <c r="FI27" s="97"/>
      <c r="FJ27" s="97"/>
      <c r="FK27" s="97"/>
      <c r="FL27" s="97"/>
      <c r="FM27" s="97"/>
      <c r="FN27" s="97"/>
      <c r="FO27" s="97"/>
      <c r="FP27" s="97"/>
      <c r="FQ27" s="97"/>
      <c r="FR27" s="97"/>
      <c r="FS27" s="97"/>
      <c r="FT27" s="97"/>
      <c r="FU27" s="97"/>
      <c r="FV27" s="97"/>
      <c r="FW27" s="97"/>
      <c r="FX27" s="97"/>
      <c r="FY27" s="97"/>
      <c r="FZ27" s="97"/>
      <c r="GA27" s="97"/>
      <c r="GB27" s="97"/>
      <c r="GC27" s="97"/>
      <c r="GD27" s="97"/>
      <c r="GE27" s="97"/>
      <c r="GF27" s="97"/>
      <c r="GG27" s="97"/>
      <c r="GH27" s="97"/>
      <c r="GI27" s="97"/>
      <c r="GJ27" s="97"/>
      <c r="GK27" s="97"/>
      <c r="GL27" s="97"/>
      <c r="GM27" s="97"/>
      <c r="GN27" s="97"/>
      <c r="GO27" s="97"/>
      <c r="GP27" s="97"/>
      <c r="GQ27" s="97"/>
      <c r="GR27" s="97"/>
      <c r="GS27" s="97"/>
      <c r="GT27" s="97"/>
      <c r="GU27" s="97"/>
      <c r="GV27" s="97"/>
      <c r="GW27" s="97"/>
      <c r="GX27" s="97"/>
      <c r="GY27" s="97"/>
      <c r="GZ27" s="97"/>
      <c r="HA27" s="97"/>
      <c r="HB27" s="97"/>
      <c r="HC27" s="97"/>
      <c r="HD27" s="97"/>
      <c r="HE27" s="97"/>
      <c r="HF27" s="97"/>
      <c r="HG27" s="97"/>
      <c r="HH27" s="97"/>
      <c r="HI27" s="97"/>
      <c r="HJ27" s="97"/>
      <c r="HK27" s="97"/>
      <c r="HL27" s="97"/>
      <c r="HM27" s="97"/>
      <c r="HN27" s="97"/>
      <c r="HO27" s="97"/>
      <c r="HP27" s="97"/>
      <c r="HQ27" s="97"/>
      <c r="HR27" s="97"/>
      <c r="HS27" s="97"/>
      <c r="HT27" s="97"/>
      <c r="HU27" s="97"/>
      <c r="HV27" s="97"/>
      <c r="HW27" s="97"/>
      <c r="HX27" s="97"/>
      <c r="HY27" s="97"/>
      <c r="HZ27" s="97"/>
      <c r="IA27" s="97"/>
      <c r="IB27" s="97"/>
      <c r="IC27" s="97"/>
      <c r="ID27" s="97"/>
      <c r="IE27" s="97"/>
      <c r="IF27" s="97"/>
      <c r="IG27" s="97"/>
      <c r="IH27" s="97"/>
      <c r="II27" s="97"/>
      <c r="IJ27" s="97"/>
      <c r="IK27" s="97"/>
      <c r="IL27" s="97"/>
      <c r="IM27" s="97"/>
      <c r="IN27" s="97"/>
      <c r="IO27" s="97"/>
      <c r="IP27" s="97"/>
      <c r="IQ27" s="97"/>
      <c r="IR27" s="97"/>
      <c r="IS27" s="97"/>
      <c r="IT27" s="97"/>
      <c r="IU27" s="97"/>
      <c r="IV27" s="97"/>
      <c r="IW27" s="97"/>
      <c r="IX27" s="97"/>
      <c r="IY27" s="97"/>
      <c r="IZ27" s="97"/>
      <c r="JA27" s="97"/>
      <c r="JB27" s="97"/>
      <c r="JC27" s="97"/>
      <c r="JD27" s="97"/>
      <c r="JE27" s="97"/>
      <c r="JF27" s="97"/>
      <c r="JG27" s="97"/>
      <c r="JH27" s="97"/>
      <c r="JI27" s="97"/>
      <c r="JJ27" s="97"/>
      <c r="JK27" s="97"/>
      <c r="JL27" s="97"/>
      <c r="JM27" s="97"/>
      <c r="JN27" s="97"/>
      <c r="JO27" s="97"/>
      <c r="JP27" s="97"/>
      <c r="JQ27" s="97"/>
      <c r="JR27" s="97"/>
      <c r="JS27" s="97"/>
      <c r="JT27" s="97"/>
      <c r="JU27" s="97"/>
      <c r="JV27" s="97"/>
      <c r="JW27" s="97"/>
      <c r="JX27" s="97"/>
      <c r="JY27" s="97"/>
      <c r="JZ27" s="97"/>
      <c r="KA27" s="97"/>
      <c r="KB27" s="97"/>
      <c r="KC27" s="97"/>
      <c r="KD27" s="97"/>
      <c r="KE27" s="97"/>
      <c r="KF27" s="97"/>
      <c r="KG27" s="97"/>
      <c r="KH27" s="97"/>
      <c r="KI27" s="97"/>
      <c r="KJ27" s="97"/>
      <c r="KK27" s="97"/>
      <c r="KL27" s="97"/>
      <c r="KM27" s="97"/>
      <c r="KN27" s="97"/>
      <c r="KO27" s="97"/>
      <c r="KP27" s="97"/>
      <c r="KQ27" s="97"/>
      <c r="KR27" s="97"/>
      <c r="KS27" s="97"/>
      <c r="KT27" s="97"/>
      <c r="KU27" s="97"/>
      <c r="KV27" s="97"/>
      <c r="KW27" s="97"/>
      <c r="KX27" s="97"/>
      <c r="KY27" s="97"/>
      <c r="KZ27" s="97"/>
      <c r="LA27" s="97"/>
      <c r="LB27" s="97"/>
      <c r="LC27" s="97"/>
      <c r="LD27" s="97"/>
      <c r="LE27" s="97"/>
      <c r="LF27" s="97"/>
      <c r="LG27" s="97"/>
      <c r="LH27" s="97"/>
      <c r="LI27" s="97"/>
      <c r="LJ27" s="97"/>
      <c r="LK27" s="97"/>
      <c r="LL27" s="97"/>
    </row>
    <row r="28" spans="1:324" x14ac:dyDescent="0.25">
      <c r="A28" s="1">
        <v>25</v>
      </c>
      <c r="B28" s="79">
        <v>45783</v>
      </c>
      <c r="C28" s="80">
        <v>7.5694444444444439E-2</v>
      </c>
      <c r="D28" s="81"/>
      <c r="E28" s="81"/>
      <c r="F28" s="81"/>
      <c r="G28" s="81" t="s">
        <v>154</v>
      </c>
      <c r="H28" s="81" t="s">
        <v>154</v>
      </c>
      <c r="I28" s="79"/>
      <c r="J28" s="81" t="s">
        <v>122</v>
      </c>
      <c r="K28" s="81">
        <v>38</v>
      </c>
      <c r="L28" s="81">
        <v>3</v>
      </c>
      <c r="M28" s="81" t="s">
        <v>113</v>
      </c>
      <c r="N28" s="81">
        <v>2820</v>
      </c>
      <c r="O28" s="81">
        <v>47.5</v>
      </c>
      <c r="P28" s="81">
        <v>35</v>
      </c>
      <c r="Q28" s="81">
        <v>4</v>
      </c>
      <c r="R28" s="81" t="s">
        <v>110</v>
      </c>
      <c r="S28" s="81" t="s">
        <v>110</v>
      </c>
      <c r="T28" s="81" t="s">
        <v>110</v>
      </c>
      <c r="U28" s="81" t="s">
        <v>124</v>
      </c>
      <c r="V28" s="1"/>
      <c r="W28" s="81">
        <v>9</v>
      </c>
      <c r="X28" s="81">
        <v>10</v>
      </c>
      <c r="Y28" s="81" t="s">
        <v>111</v>
      </c>
      <c r="Z28" s="81" t="s">
        <v>111</v>
      </c>
      <c r="AA28" s="81" t="s">
        <v>111</v>
      </c>
      <c r="AB28" s="81" t="s">
        <v>143</v>
      </c>
      <c r="AC28" s="81" t="s">
        <v>111</v>
      </c>
      <c r="AD28" s="81" t="s">
        <v>110</v>
      </c>
      <c r="AE28" s="81" t="s">
        <v>111</v>
      </c>
      <c r="AF28" s="81" t="s">
        <v>111</v>
      </c>
      <c r="AG28" s="81" t="s">
        <v>142</v>
      </c>
      <c r="AH28" s="81" t="s">
        <v>111</v>
      </c>
      <c r="AI28" s="81" t="s">
        <v>125</v>
      </c>
      <c r="AJ28" s="81" t="s">
        <v>111</v>
      </c>
      <c r="AK28" s="81">
        <v>24</v>
      </c>
      <c r="AL28" s="81" t="s">
        <v>111</v>
      </c>
      <c r="AM28" s="81" t="s">
        <v>111</v>
      </c>
      <c r="AN28" s="81" t="s">
        <v>181</v>
      </c>
      <c r="AO28" s="81" t="s">
        <v>111</v>
      </c>
      <c r="AP28" s="81"/>
      <c r="AQ28" s="102" t="s">
        <v>110</v>
      </c>
      <c r="AR28" s="1" t="s">
        <v>112</v>
      </c>
      <c r="AS28" s="1"/>
      <c r="AT28" s="83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7"/>
      <c r="CS28" s="97"/>
      <c r="CT28" s="97"/>
      <c r="CU28" s="97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  <c r="DL28" s="97"/>
      <c r="DM28" s="97"/>
      <c r="DN28" s="97"/>
      <c r="DO28" s="97"/>
      <c r="DP28" s="97"/>
      <c r="DQ28" s="97"/>
      <c r="DR28" s="97"/>
      <c r="DS28" s="97"/>
      <c r="DT28" s="97"/>
      <c r="DU28" s="97"/>
      <c r="DV28" s="97"/>
      <c r="DW28" s="97"/>
      <c r="DX28" s="97"/>
      <c r="DY28" s="97"/>
      <c r="DZ28" s="97"/>
      <c r="EA28" s="97"/>
      <c r="EB28" s="97"/>
      <c r="EC28" s="97"/>
      <c r="ED28" s="97"/>
      <c r="EE28" s="97"/>
      <c r="EF28" s="97"/>
      <c r="EG28" s="97"/>
      <c r="EH28" s="97"/>
      <c r="EI28" s="97"/>
      <c r="EJ28" s="97"/>
      <c r="EK28" s="97"/>
      <c r="EL28" s="97"/>
      <c r="EM28" s="97"/>
      <c r="EN28" s="97"/>
      <c r="EO28" s="97"/>
      <c r="EP28" s="97"/>
      <c r="EQ28" s="97"/>
      <c r="ER28" s="97"/>
      <c r="ES28" s="97"/>
      <c r="ET28" s="97"/>
      <c r="EU28" s="97"/>
      <c r="EV28" s="97"/>
      <c r="EW28" s="97"/>
      <c r="EX28" s="97"/>
      <c r="EY28" s="97"/>
      <c r="EZ28" s="97"/>
      <c r="FA28" s="97"/>
      <c r="FB28" s="97"/>
      <c r="FC28" s="97"/>
      <c r="FD28" s="97"/>
      <c r="FE28" s="97"/>
      <c r="FF28" s="97"/>
      <c r="FG28" s="97"/>
      <c r="FH28" s="97"/>
      <c r="FI28" s="97"/>
      <c r="FJ28" s="97"/>
      <c r="FK28" s="97"/>
      <c r="FL28" s="97"/>
      <c r="FM28" s="97"/>
      <c r="FN28" s="97"/>
      <c r="FO28" s="97"/>
      <c r="FP28" s="97"/>
      <c r="FQ28" s="97"/>
      <c r="FR28" s="97"/>
      <c r="FS28" s="97"/>
      <c r="FT28" s="97"/>
      <c r="FU28" s="97"/>
      <c r="FV28" s="97"/>
      <c r="FW28" s="97"/>
      <c r="FX28" s="97"/>
      <c r="FY28" s="97"/>
      <c r="FZ28" s="97"/>
      <c r="GA28" s="97"/>
      <c r="GB28" s="97"/>
      <c r="GC28" s="97"/>
      <c r="GD28" s="97"/>
      <c r="GE28" s="97"/>
      <c r="GF28" s="97"/>
      <c r="GG28" s="97"/>
      <c r="GH28" s="97"/>
      <c r="GI28" s="97"/>
      <c r="GJ28" s="97"/>
      <c r="GK28" s="97"/>
      <c r="GL28" s="97"/>
      <c r="GM28" s="97"/>
      <c r="GN28" s="97"/>
      <c r="GO28" s="97"/>
      <c r="GP28" s="97"/>
      <c r="GQ28" s="97"/>
      <c r="GR28" s="97"/>
      <c r="GS28" s="97"/>
      <c r="GT28" s="97"/>
      <c r="GU28" s="97"/>
      <c r="GV28" s="97"/>
      <c r="GW28" s="97"/>
      <c r="GX28" s="97"/>
      <c r="GY28" s="97"/>
      <c r="GZ28" s="97"/>
      <c r="HA28" s="97"/>
      <c r="HB28" s="97"/>
      <c r="HC28" s="97"/>
      <c r="HD28" s="97"/>
      <c r="HE28" s="97"/>
      <c r="HF28" s="97"/>
      <c r="HG28" s="97"/>
      <c r="HH28" s="97"/>
      <c r="HI28" s="97"/>
      <c r="HJ28" s="97"/>
      <c r="HK28" s="97"/>
      <c r="HL28" s="97"/>
      <c r="HM28" s="97"/>
      <c r="HN28" s="97"/>
      <c r="HO28" s="97"/>
      <c r="HP28" s="97"/>
      <c r="HQ28" s="97"/>
      <c r="HR28" s="97"/>
      <c r="HS28" s="97"/>
      <c r="HT28" s="97"/>
      <c r="HU28" s="97"/>
      <c r="HV28" s="97"/>
      <c r="HW28" s="97"/>
      <c r="HX28" s="97"/>
      <c r="HY28" s="97"/>
      <c r="HZ28" s="97"/>
      <c r="IA28" s="97"/>
      <c r="IB28" s="97"/>
      <c r="IC28" s="97"/>
      <c r="ID28" s="97"/>
      <c r="IE28" s="97"/>
      <c r="IF28" s="97"/>
      <c r="IG28" s="97"/>
      <c r="IH28" s="97"/>
      <c r="II28" s="97"/>
      <c r="IJ28" s="97"/>
      <c r="IK28" s="97"/>
      <c r="IL28" s="97"/>
      <c r="IM28" s="97"/>
      <c r="IN28" s="97"/>
      <c r="IO28" s="97"/>
      <c r="IP28" s="97"/>
      <c r="IQ28" s="97"/>
      <c r="IR28" s="97"/>
      <c r="IS28" s="97"/>
      <c r="IT28" s="97"/>
      <c r="IU28" s="97"/>
      <c r="IV28" s="97"/>
      <c r="IW28" s="97"/>
      <c r="IX28" s="97"/>
      <c r="IY28" s="97"/>
      <c r="IZ28" s="97"/>
      <c r="JA28" s="97"/>
      <c r="JB28" s="97"/>
      <c r="JC28" s="97"/>
      <c r="JD28" s="97"/>
      <c r="JE28" s="97"/>
      <c r="JF28" s="97"/>
      <c r="JG28" s="97"/>
      <c r="JH28" s="97"/>
      <c r="JI28" s="97"/>
      <c r="JJ28" s="97"/>
      <c r="JK28" s="97"/>
      <c r="JL28" s="97"/>
      <c r="JM28" s="97"/>
      <c r="JN28" s="97"/>
      <c r="JO28" s="97"/>
      <c r="JP28" s="97"/>
      <c r="JQ28" s="97"/>
      <c r="JR28" s="97"/>
      <c r="JS28" s="97"/>
      <c r="JT28" s="97"/>
      <c r="JU28" s="97"/>
      <c r="JV28" s="97"/>
      <c r="JW28" s="97"/>
      <c r="JX28" s="97"/>
      <c r="JY28" s="97"/>
      <c r="JZ28" s="97"/>
      <c r="KA28" s="97"/>
      <c r="KB28" s="97"/>
      <c r="KC28" s="97"/>
      <c r="KD28" s="97"/>
      <c r="KE28" s="97"/>
      <c r="KF28" s="97"/>
      <c r="KG28" s="97"/>
      <c r="KH28" s="97"/>
      <c r="KI28" s="97"/>
      <c r="KJ28" s="97"/>
      <c r="KK28" s="97"/>
      <c r="KL28" s="97"/>
      <c r="KM28" s="97"/>
      <c r="KN28" s="97"/>
      <c r="KO28" s="97"/>
      <c r="KP28" s="97"/>
      <c r="KQ28" s="97"/>
      <c r="KR28" s="97"/>
      <c r="KS28" s="97"/>
      <c r="KT28" s="97"/>
      <c r="KU28" s="97"/>
      <c r="KV28" s="97"/>
      <c r="KW28" s="97"/>
      <c r="KX28" s="97"/>
      <c r="KY28" s="97"/>
      <c r="KZ28" s="97"/>
      <c r="LA28" s="97"/>
      <c r="LB28" s="97"/>
      <c r="LC28" s="97"/>
      <c r="LD28" s="97"/>
      <c r="LE28" s="97"/>
      <c r="LF28" s="97"/>
      <c r="LG28" s="97"/>
      <c r="LH28" s="97"/>
      <c r="LI28" s="97"/>
      <c r="LJ28" s="97"/>
      <c r="LK28" s="97"/>
      <c r="LL28" s="97"/>
    </row>
    <row r="29" spans="1:324" x14ac:dyDescent="0.25">
      <c r="A29" s="1">
        <v>26</v>
      </c>
      <c r="B29" s="79">
        <v>45906</v>
      </c>
      <c r="C29" s="80">
        <v>0.59305555555555556</v>
      </c>
      <c r="D29" s="81"/>
      <c r="E29" s="81"/>
      <c r="F29" s="81"/>
      <c r="G29" s="81" t="s">
        <v>114</v>
      </c>
      <c r="H29" s="81" t="s">
        <v>128</v>
      </c>
      <c r="I29" s="79"/>
      <c r="J29" s="81" t="s">
        <v>122</v>
      </c>
      <c r="K29" s="81">
        <v>39</v>
      </c>
      <c r="L29" s="81">
        <v>0</v>
      </c>
      <c r="M29" s="81" t="s">
        <v>123</v>
      </c>
      <c r="N29" s="81">
        <v>2580</v>
      </c>
      <c r="O29" s="81">
        <v>48</v>
      </c>
      <c r="P29" s="81">
        <v>35</v>
      </c>
      <c r="Q29" s="81">
        <v>4</v>
      </c>
      <c r="R29" s="81" t="s">
        <v>110</v>
      </c>
      <c r="S29" s="81" t="s">
        <v>110</v>
      </c>
      <c r="T29" s="81" t="s">
        <v>110</v>
      </c>
      <c r="U29" s="81" t="s">
        <v>135</v>
      </c>
      <c r="V29" s="1"/>
      <c r="W29" s="81">
        <v>8</v>
      </c>
      <c r="X29" s="81">
        <v>9</v>
      </c>
      <c r="Y29" s="81" t="s">
        <v>111</v>
      </c>
      <c r="Z29" s="81" t="s">
        <v>111</v>
      </c>
      <c r="AA29" s="81" t="s">
        <v>111</v>
      </c>
      <c r="AB29" s="81" t="s">
        <v>111</v>
      </c>
      <c r="AC29" s="81" t="s">
        <v>111</v>
      </c>
      <c r="AD29" s="81" t="s">
        <v>110</v>
      </c>
      <c r="AE29" s="81" t="s">
        <v>111</v>
      </c>
      <c r="AF29" s="81" t="s">
        <v>111</v>
      </c>
      <c r="AG29" s="81" t="s">
        <v>142</v>
      </c>
      <c r="AH29" s="81" t="s">
        <v>111</v>
      </c>
      <c r="AI29" s="81" t="s">
        <v>125</v>
      </c>
      <c r="AJ29" s="81" t="s">
        <v>111</v>
      </c>
      <c r="AK29" s="81">
        <v>27</v>
      </c>
      <c r="AL29" s="81" t="s">
        <v>111</v>
      </c>
      <c r="AM29" s="81" t="s">
        <v>111</v>
      </c>
      <c r="AN29" s="81" t="s">
        <v>182</v>
      </c>
      <c r="AO29" s="81" t="s">
        <v>111</v>
      </c>
      <c r="AP29" s="81"/>
      <c r="AQ29" s="102" t="s">
        <v>110</v>
      </c>
      <c r="AR29" s="1" t="s">
        <v>112</v>
      </c>
      <c r="AS29" s="1"/>
      <c r="AT29" s="83"/>
    </row>
    <row r="30" spans="1:324" x14ac:dyDescent="0.25">
      <c r="A30" s="1">
        <v>27</v>
      </c>
      <c r="B30" s="79">
        <v>45907</v>
      </c>
      <c r="C30" s="80">
        <v>0.4381944444444445</v>
      </c>
      <c r="D30" s="81"/>
      <c r="E30" s="81"/>
      <c r="F30" s="81"/>
      <c r="G30" s="81" t="s">
        <v>114</v>
      </c>
      <c r="H30" s="81" t="s">
        <v>128</v>
      </c>
      <c r="I30" s="79"/>
      <c r="J30" s="81" t="s">
        <v>127</v>
      </c>
      <c r="K30" s="81">
        <v>40</v>
      </c>
      <c r="L30" s="81">
        <v>1</v>
      </c>
      <c r="M30" s="81" t="s">
        <v>123</v>
      </c>
      <c r="N30" s="81">
        <v>4170</v>
      </c>
      <c r="O30" s="81">
        <v>50</v>
      </c>
      <c r="P30" s="81">
        <v>37</v>
      </c>
      <c r="Q30" s="81">
        <v>4</v>
      </c>
      <c r="R30" s="81" t="s">
        <v>110</v>
      </c>
      <c r="S30" s="81" t="s">
        <v>110</v>
      </c>
      <c r="T30" s="81" t="s">
        <v>110</v>
      </c>
      <c r="U30" s="81" t="s">
        <v>157</v>
      </c>
      <c r="V30" s="1"/>
      <c r="W30" s="81">
        <v>8</v>
      </c>
      <c r="X30" s="81">
        <v>9</v>
      </c>
      <c r="Y30" s="81" t="s">
        <v>111</v>
      </c>
      <c r="Z30" s="81" t="s">
        <v>111</v>
      </c>
      <c r="AA30" s="81" t="s">
        <v>111</v>
      </c>
      <c r="AB30" s="81" t="s">
        <v>111</v>
      </c>
      <c r="AC30" s="81" t="s">
        <v>111</v>
      </c>
      <c r="AD30" s="81" t="s">
        <v>110</v>
      </c>
      <c r="AE30" s="81" t="s">
        <v>111</v>
      </c>
      <c r="AF30" s="81" t="s">
        <v>111</v>
      </c>
      <c r="AG30" s="81" t="s">
        <v>142</v>
      </c>
      <c r="AH30" s="81" t="s">
        <v>111</v>
      </c>
      <c r="AI30" s="81" t="s">
        <v>125</v>
      </c>
      <c r="AJ30" s="81" t="s">
        <v>111</v>
      </c>
      <c r="AK30" s="81">
        <v>24</v>
      </c>
      <c r="AL30" s="81" t="s">
        <v>111</v>
      </c>
      <c r="AM30" s="81" t="s">
        <v>111</v>
      </c>
      <c r="AN30" s="81" t="s">
        <v>183</v>
      </c>
      <c r="AO30" s="81" t="s">
        <v>111</v>
      </c>
      <c r="AP30" s="81"/>
      <c r="AQ30" s="102" t="s">
        <v>110</v>
      </c>
      <c r="AR30" s="1" t="s">
        <v>131</v>
      </c>
      <c r="AS30" s="1"/>
      <c r="AT30" s="83" t="s">
        <v>110</v>
      </c>
    </row>
    <row r="31" spans="1:324" x14ac:dyDescent="0.25">
      <c r="A31" s="1">
        <v>28</v>
      </c>
      <c r="B31" s="79">
        <v>45907</v>
      </c>
      <c r="C31" s="80">
        <v>0.88541666666666663</v>
      </c>
      <c r="D31" s="81"/>
      <c r="E31" s="81"/>
      <c r="F31" s="81"/>
      <c r="G31" s="81" t="s">
        <v>184</v>
      </c>
      <c r="H31" s="81" t="s">
        <v>185</v>
      </c>
      <c r="I31" s="79"/>
      <c r="J31" s="81" t="s">
        <v>42</v>
      </c>
      <c r="K31" s="81" t="s">
        <v>186</v>
      </c>
      <c r="L31" s="81"/>
      <c r="M31" s="81" t="s">
        <v>113</v>
      </c>
      <c r="N31" s="81">
        <v>2780</v>
      </c>
      <c r="O31" s="81">
        <v>48</v>
      </c>
      <c r="P31" s="81">
        <v>33</v>
      </c>
      <c r="Q31" s="81">
        <v>4</v>
      </c>
      <c r="R31" s="81" t="s">
        <v>110</v>
      </c>
      <c r="S31" s="81" t="s">
        <v>110</v>
      </c>
      <c r="T31" s="81" t="s">
        <v>110</v>
      </c>
      <c r="U31" s="81" t="s">
        <v>135</v>
      </c>
      <c r="V31" s="1"/>
      <c r="W31" s="81">
        <v>8</v>
      </c>
      <c r="X31" s="81">
        <v>9</v>
      </c>
      <c r="Y31" s="81" t="s">
        <v>111</v>
      </c>
      <c r="Z31" s="81" t="s">
        <v>111</v>
      </c>
      <c r="AA31" s="81" t="s">
        <v>110</v>
      </c>
      <c r="AB31" s="81" t="s">
        <v>111</v>
      </c>
      <c r="AC31" s="81" t="s">
        <v>111</v>
      </c>
      <c r="AD31" s="81" t="s">
        <v>110</v>
      </c>
      <c r="AE31" s="81" t="s">
        <v>111</v>
      </c>
      <c r="AF31" s="81" t="s">
        <v>111</v>
      </c>
      <c r="AG31" s="81" t="s">
        <v>187</v>
      </c>
      <c r="AH31" s="81" t="s">
        <v>111</v>
      </c>
      <c r="AI31" s="81" t="s">
        <v>188</v>
      </c>
      <c r="AJ31" s="81" t="s">
        <v>111</v>
      </c>
      <c r="AK31" s="81">
        <v>32</v>
      </c>
      <c r="AL31" s="81" t="s">
        <v>111</v>
      </c>
      <c r="AM31" s="81" t="s">
        <v>111</v>
      </c>
      <c r="AN31" s="81" t="s">
        <v>189</v>
      </c>
      <c r="AO31" s="81" t="s">
        <v>111</v>
      </c>
      <c r="AP31" s="81"/>
      <c r="AQ31" s="102" t="s">
        <v>110</v>
      </c>
      <c r="AR31" s="1" t="s">
        <v>112</v>
      </c>
      <c r="AS31" s="1"/>
      <c r="AT31" s="83"/>
    </row>
    <row r="32" spans="1:324" s="45" customFormat="1" x14ac:dyDescent="0.25">
      <c r="A32" s="1">
        <v>29</v>
      </c>
      <c r="B32" s="79">
        <v>45908</v>
      </c>
      <c r="C32" s="80">
        <v>0.24236111111111111</v>
      </c>
      <c r="D32" s="81"/>
      <c r="E32" s="81"/>
      <c r="F32" s="81"/>
      <c r="G32" s="81" t="s">
        <v>114</v>
      </c>
      <c r="H32" s="81" t="s">
        <v>121</v>
      </c>
      <c r="I32" s="79"/>
      <c r="J32" s="81" t="s">
        <v>122</v>
      </c>
      <c r="K32" s="81">
        <v>36</v>
      </c>
      <c r="L32" s="81">
        <v>2</v>
      </c>
      <c r="M32" s="81" t="s">
        <v>123</v>
      </c>
      <c r="N32" s="81">
        <v>3235</v>
      </c>
      <c r="O32" s="81">
        <v>49</v>
      </c>
      <c r="P32" s="81">
        <v>35.5</v>
      </c>
      <c r="Q32" s="81">
        <v>4</v>
      </c>
      <c r="R32" s="81" t="s">
        <v>110</v>
      </c>
      <c r="S32" s="81" t="s">
        <v>110</v>
      </c>
      <c r="T32" s="81" t="s">
        <v>110</v>
      </c>
      <c r="U32" s="81" t="s">
        <v>135</v>
      </c>
      <c r="V32" s="1"/>
      <c r="W32" s="81">
        <v>9</v>
      </c>
      <c r="X32" s="81">
        <v>9</v>
      </c>
      <c r="Y32" s="81" t="s">
        <v>111</v>
      </c>
      <c r="Z32" s="81" t="s">
        <v>111</v>
      </c>
      <c r="AA32" s="81" t="s">
        <v>111</v>
      </c>
      <c r="AB32" s="81" t="s">
        <v>111</v>
      </c>
      <c r="AC32" s="81" t="s">
        <v>111</v>
      </c>
      <c r="AD32" s="81" t="s">
        <v>110</v>
      </c>
      <c r="AE32" s="81" t="s">
        <v>111</v>
      </c>
      <c r="AF32" s="81" t="s">
        <v>111</v>
      </c>
      <c r="AG32" s="81" t="s">
        <v>142</v>
      </c>
      <c r="AH32" s="81" t="s">
        <v>111</v>
      </c>
      <c r="AI32" s="81" t="s">
        <v>125</v>
      </c>
      <c r="AJ32" s="81" t="s">
        <v>111</v>
      </c>
      <c r="AK32" s="81">
        <v>34</v>
      </c>
      <c r="AL32" s="81" t="s">
        <v>111</v>
      </c>
      <c r="AM32" s="81" t="s">
        <v>111</v>
      </c>
      <c r="AN32" s="81" t="s">
        <v>190</v>
      </c>
      <c r="AO32" s="81" t="s">
        <v>111</v>
      </c>
      <c r="AP32" s="81"/>
      <c r="AQ32" s="102" t="s">
        <v>110</v>
      </c>
      <c r="AR32" s="7" t="s">
        <v>112</v>
      </c>
      <c r="AS32" s="7"/>
      <c r="AT32" s="85"/>
      <c r="AU32" s="91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</row>
    <row r="33" spans="1:324" s="45" customFormat="1" x14ac:dyDescent="0.25">
      <c r="A33" s="1">
        <v>30</v>
      </c>
      <c r="B33" s="79">
        <v>45908</v>
      </c>
      <c r="C33" s="80">
        <v>0.33055555555555555</v>
      </c>
      <c r="D33" s="81"/>
      <c r="E33" s="81"/>
      <c r="F33" s="81"/>
      <c r="G33" s="81" t="s">
        <v>114</v>
      </c>
      <c r="H33" s="81" t="s">
        <v>171</v>
      </c>
      <c r="I33" s="79"/>
      <c r="J33" s="81" t="s">
        <v>122</v>
      </c>
      <c r="K33" s="81">
        <v>39</v>
      </c>
      <c r="L33" s="81">
        <v>6</v>
      </c>
      <c r="M33" s="81" t="s">
        <v>113</v>
      </c>
      <c r="N33" s="81">
        <v>3280</v>
      </c>
      <c r="O33" s="81">
        <v>49</v>
      </c>
      <c r="P33" s="81">
        <v>34</v>
      </c>
      <c r="Q33" s="81">
        <v>4</v>
      </c>
      <c r="R33" s="81" t="s">
        <v>110</v>
      </c>
      <c r="S33" s="81" t="s">
        <v>110</v>
      </c>
      <c r="T33" s="81" t="s">
        <v>110</v>
      </c>
      <c r="U33" s="81" t="s">
        <v>191</v>
      </c>
      <c r="V33" s="1"/>
      <c r="W33" s="81">
        <v>9</v>
      </c>
      <c r="X33" s="81">
        <v>10</v>
      </c>
      <c r="Y33" s="81" t="s">
        <v>111</v>
      </c>
      <c r="Z33" s="81" t="s">
        <v>111</v>
      </c>
      <c r="AA33" s="81" t="s">
        <v>111</v>
      </c>
      <c r="AB33" s="81" t="s">
        <v>111</v>
      </c>
      <c r="AC33" s="81" t="s">
        <v>111</v>
      </c>
      <c r="AD33" s="81" t="s">
        <v>111</v>
      </c>
      <c r="AE33" s="81" t="s">
        <v>111</v>
      </c>
      <c r="AF33" s="81" t="s">
        <v>111</v>
      </c>
      <c r="AG33" s="81" t="s">
        <v>142</v>
      </c>
      <c r="AH33" s="81" t="s">
        <v>111</v>
      </c>
      <c r="AI33" s="81" t="s">
        <v>125</v>
      </c>
      <c r="AJ33" s="81" t="s">
        <v>111</v>
      </c>
      <c r="AK33" s="81">
        <v>27</v>
      </c>
      <c r="AL33" s="81" t="s">
        <v>111</v>
      </c>
      <c r="AM33" s="81" t="s">
        <v>111</v>
      </c>
      <c r="AN33" s="81" t="s">
        <v>138</v>
      </c>
      <c r="AO33" s="81" t="s">
        <v>111</v>
      </c>
      <c r="AP33" s="81"/>
      <c r="AQ33" s="102" t="s">
        <v>110</v>
      </c>
      <c r="AR33" s="7" t="s">
        <v>112</v>
      </c>
      <c r="AS33" s="7"/>
      <c r="AT33" s="85"/>
      <c r="AU33" s="91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</row>
    <row r="34" spans="1:324" x14ac:dyDescent="0.25">
      <c r="A34" s="1">
        <v>31</v>
      </c>
      <c r="B34" s="79">
        <v>45908</v>
      </c>
      <c r="C34" s="80">
        <v>0.43263888888888885</v>
      </c>
      <c r="D34" s="81"/>
      <c r="E34" s="81"/>
      <c r="F34" s="81"/>
      <c r="G34" s="81" t="s">
        <v>192</v>
      </c>
      <c r="H34" s="81" t="s">
        <v>192</v>
      </c>
      <c r="I34" s="79"/>
      <c r="J34" s="81" t="s">
        <v>129</v>
      </c>
      <c r="K34" s="81">
        <v>40</v>
      </c>
      <c r="L34" s="81">
        <v>1</v>
      </c>
      <c r="M34" s="81" t="s">
        <v>113</v>
      </c>
      <c r="N34" s="81">
        <v>3960</v>
      </c>
      <c r="O34" s="81">
        <v>52</v>
      </c>
      <c r="P34" s="81">
        <v>36</v>
      </c>
      <c r="Q34" s="81">
        <v>4</v>
      </c>
      <c r="R34" s="81" t="s">
        <v>110</v>
      </c>
      <c r="S34" s="81" t="s">
        <v>110</v>
      </c>
      <c r="T34" s="81" t="s">
        <v>110</v>
      </c>
      <c r="U34" s="81" t="s">
        <v>130</v>
      </c>
      <c r="V34" s="1"/>
      <c r="W34" s="81">
        <v>9</v>
      </c>
      <c r="X34" s="81">
        <v>9</v>
      </c>
      <c r="Y34" s="81" t="s">
        <v>111</v>
      </c>
      <c r="Z34" s="81" t="s">
        <v>111</v>
      </c>
      <c r="AA34" s="81" t="s">
        <v>111</v>
      </c>
      <c r="AB34" s="81" t="s">
        <v>110</v>
      </c>
      <c r="AC34" s="81" t="s">
        <v>110</v>
      </c>
      <c r="AD34" s="81" t="s">
        <v>110</v>
      </c>
      <c r="AE34" s="81" t="s">
        <v>111</v>
      </c>
      <c r="AF34" s="81" t="s">
        <v>111</v>
      </c>
      <c r="AG34" s="81" t="s">
        <v>142</v>
      </c>
      <c r="AH34" s="81" t="s">
        <v>111</v>
      </c>
      <c r="AI34" s="81" t="s">
        <v>125</v>
      </c>
      <c r="AJ34" s="81" t="s">
        <v>111</v>
      </c>
      <c r="AK34" s="81">
        <v>30</v>
      </c>
      <c r="AL34" s="81" t="s">
        <v>111</v>
      </c>
      <c r="AM34" s="81" t="s">
        <v>111</v>
      </c>
      <c r="AN34" s="81" t="s">
        <v>194</v>
      </c>
      <c r="AO34" s="81" t="s">
        <v>111</v>
      </c>
      <c r="AP34" s="81"/>
      <c r="AQ34" s="102" t="s">
        <v>110</v>
      </c>
      <c r="AR34" s="1" t="s">
        <v>131</v>
      </c>
      <c r="AS34" s="1"/>
      <c r="AT34" s="83" t="s">
        <v>110</v>
      </c>
      <c r="AU34" s="81" t="s">
        <v>193</v>
      </c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</row>
    <row r="35" spans="1:324" x14ac:dyDescent="0.25">
      <c r="A35" s="1">
        <v>32</v>
      </c>
      <c r="B35" s="79">
        <v>45908</v>
      </c>
      <c r="C35" s="80">
        <v>0.4993055555555555</v>
      </c>
      <c r="D35" s="81"/>
      <c r="E35" s="81"/>
      <c r="F35" s="81"/>
      <c r="G35" s="81" t="s">
        <v>195</v>
      </c>
      <c r="H35" s="81" t="s">
        <v>195</v>
      </c>
      <c r="I35" s="79"/>
      <c r="J35" s="81" t="s">
        <v>129</v>
      </c>
      <c r="K35" s="81">
        <v>39</v>
      </c>
      <c r="L35" s="81">
        <v>4</v>
      </c>
      <c r="M35" s="81" t="s">
        <v>123</v>
      </c>
      <c r="N35" s="81">
        <v>4290</v>
      </c>
      <c r="O35" s="81">
        <v>52</v>
      </c>
      <c r="P35" s="81">
        <v>35.5</v>
      </c>
      <c r="Q35" s="81">
        <v>4</v>
      </c>
      <c r="R35" s="81" t="s">
        <v>110</v>
      </c>
      <c r="S35" s="81" t="s">
        <v>110</v>
      </c>
      <c r="T35" s="81" t="s">
        <v>110</v>
      </c>
      <c r="U35" s="81" t="s">
        <v>130</v>
      </c>
      <c r="V35" s="1"/>
      <c r="W35" s="81">
        <v>9</v>
      </c>
      <c r="X35" s="81">
        <v>10</v>
      </c>
      <c r="Y35" s="81" t="s">
        <v>111</v>
      </c>
      <c r="Z35" s="81" t="s">
        <v>111</v>
      </c>
      <c r="AA35" s="81" t="s">
        <v>111</v>
      </c>
      <c r="AB35" s="81" t="s">
        <v>110</v>
      </c>
      <c r="AC35" s="81" t="s">
        <v>111</v>
      </c>
      <c r="AD35" s="81" t="s">
        <v>110</v>
      </c>
      <c r="AE35" s="81" t="s">
        <v>111</v>
      </c>
      <c r="AF35" s="81" t="s">
        <v>111</v>
      </c>
      <c r="AG35" s="81" t="s">
        <v>142</v>
      </c>
      <c r="AH35" s="81" t="s">
        <v>111</v>
      </c>
      <c r="AI35" s="81" t="s">
        <v>125</v>
      </c>
      <c r="AJ35" s="81" t="s">
        <v>111</v>
      </c>
      <c r="AK35" s="81">
        <v>27</v>
      </c>
      <c r="AL35" s="81" t="s">
        <v>111</v>
      </c>
      <c r="AM35" s="81" t="s">
        <v>111</v>
      </c>
      <c r="AN35" s="81" t="s">
        <v>196</v>
      </c>
      <c r="AO35" s="81" t="s">
        <v>111</v>
      </c>
      <c r="AP35" s="81"/>
      <c r="AQ35" s="102" t="s">
        <v>110</v>
      </c>
      <c r="AR35" s="153" t="s">
        <v>131</v>
      </c>
      <c r="AS35" s="145"/>
      <c r="AT35" s="154" t="s">
        <v>110</v>
      </c>
      <c r="AU35" s="81" t="s">
        <v>197</v>
      </c>
    </row>
    <row r="36" spans="1:324" ht="13.5" customHeight="1" x14ac:dyDescent="0.25">
      <c r="A36" s="1">
        <v>33</v>
      </c>
      <c r="B36" s="79">
        <v>45908</v>
      </c>
      <c r="C36" s="80">
        <v>0.55625000000000002</v>
      </c>
      <c r="D36" s="81"/>
      <c r="E36" s="81"/>
      <c r="F36" s="81"/>
      <c r="G36" s="81" t="s">
        <v>147</v>
      </c>
      <c r="H36" s="81" t="s">
        <v>121</v>
      </c>
      <c r="I36" s="79"/>
      <c r="J36" s="81" t="s">
        <v>122</v>
      </c>
      <c r="K36" s="81">
        <v>38</v>
      </c>
      <c r="L36" s="81">
        <v>5</v>
      </c>
      <c r="M36" s="81" t="s">
        <v>123</v>
      </c>
      <c r="N36" s="81">
        <v>3660</v>
      </c>
      <c r="O36" s="81">
        <v>49</v>
      </c>
      <c r="P36" s="81">
        <v>35</v>
      </c>
      <c r="Q36" s="81">
        <v>4</v>
      </c>
      <c r="R36" s="81" t="s">
        <v>110</v>
      </c>
      <c r="S36" s="81" t="s">
        <v>110</v>
      </c>
      <c r="T36" s="81" t="s">
        <v>110</v>
      </c>
      <c r="U36" s="81" t="s">
        <v>198</v>
      </c>
      <c r="V36" s="1"/>
      <c r="W36" s="81">
        <v>9</v>
      </c>
      <c r="X36" s="81">
        <v>10</v>
      </c>
      <c r="Y36" s="81" t="s">
        <v>111</v>
      </c>
      <c r="Z36" s="81" t="s">
        <v>111</v>
      </c>
      <c r="AA36" s="81" t="s">
        <v>111</v>
      </c>
      <c r="AB36" s="81" t="s">
        <v>111</v>
      </c>
      <c r="AC36" s="81" t="s">
        <v>111</v>
      </c>
      <c r="AD36" s="81" t="s">
        <v>110</v>
      </c>
      <c r="AE36" s="81" t="s">
        <v>111</v>
      </c>
      <c r="AF36" s="81" t="s">
        <v>111</v>
      </c>
      <c r="AG36" s="81" t="s">
        <v>142</v>
      </c>
      <c r="AH36" s="81" t="s">
        <v>111</v>
      </c>
      <c r="AI36" s="81" t="s">
        <v>125</v>
      </c>
      <c r="AJ36" s="81" t="s">
        <v>111</v>
      </c>
      <c r="AK36" s="81">
        <v>21</v>
      </c>
      <c r="AL36" s="81" t="s">
        <v>111</v>
      </c>
      <c r="AM36" s="81" t="s">
        <v>111</v>
      </c>
      <c r="AN36" s="81" t="s">
        <v>160</v>
      </c>
      <c r="AO36" s="81" t="s">
        <v>111</v>
      </c>
      <c r="AP36" s="81"/>
      <c r="AQ36" s="102" t="s">
        <v>110</v>
      </c>
      <c r="AR36" s="1" t="s">
        <v>112</v>
      </c>
      <c r="AS36" s="1"/>
      <c r="AT36" s="83"/>
    </row>
    <row r="37" spans="1:324" ht="15" customHeight="1" x14ac:dyDescent="0.25">
      <c r="A37" s="1">
        <v>34</v>
      </c>
      <c r="B37" s="79">
        <v>45908</v>
      </c>
      <c r="C37" s="80">
        <v>0.56111111111111112</v>
      </c>
      <c r="D37" s="81"/>
      <c r="E37" s="81"/>
      <c r="F37" s="81"/>
      <c r="G37" s="81" t="s">
        <v>114</v>
      </c>
      <c r="H37" s="81" t="s">
        <v>173</v>
      </c>
      <c r="I37" s="79"/>
      <c r="J37" s="81" t="s">
        <v>122</v>
      </c>
      <c r="K37" s="81">
        <v>38</v>
      </c>
      <c r="L37" s="81">
        <v>1</v>
      </c>
      <c r="M37" s="81" t="s">
        <v>113</v>
      </c>
      <c r="N37" s="81">
        <v>3100</v>
      </c>
      <c r="O37" s="81">
        <v>46</v>
      </c>
      <c r="P37" s="81">
        <v>32</v>
      </c>
      <c r="Q37" s="81">
        <v>4</v>
      </c>
      <c r="R37" s="81" t="s">
        <v>110</v>
      </c>
      <c r="S37" s="81" t="s">
        <v>110</v>
      </c>
      <c r="T37" s="81" t="s">
        <v>110</v>
      </c>
      <c r="U37" s="81" t="s">
        <v>130</v>
      </c>
      <c r="V37" s="1"/>
      <c r="W37" s="81">
        <v>8</v>
      </c>
      <c r="X37" s="81">
        <v>9</v>
      </c>
      <c r="Y37" s="81" t="s">
        <v>111</v>
      </c>
      <c r="Z37" s="81" t="s">
        <v>111</v>
      </c>
      <c r="AA37" s="81" t="s">
        <v>111</v>
      </c>
      <c r="AB37" s="81" t="s">
        <v>111</v>
      </c>
      <c r="AC37" s="81" t="s">
        <v>111</v>
      </c>
      <c r="AD37" s="81" t="s">
        <v>110</v>
      </c>
      <c r="AE37" s="81" t="s">
        <v>111</v>
      </c>
      <c r="AF37" s="81" t="s">
        <v>111</v>
      </c>
      <c r="AG37" s="81" t="s">
        <v>142</v>
      </c>
      <c r="AH37" s="81" t="s">
        <v>111</v>
      </c>
      <c r="AI37" s="81" t="s">
        <v>125</v>
      </c>
      <c r="AJ37" s="81" t="s">
        <v>111</v>
      </c>
      <c r="AK37" s="81">
        <v>25</v>
      </c>
      <c r="AL37" s="81" t="s">
        <v>111</v>
      </c>
      <c r="AM37" s="81" t="s">
        <v>111</v>
      </c>
      <c r="AN37" s="81" t="s">
        <v>160</v>
      </c>
      <c r="AO37" s="81" t="s">
        <v>111</v>
      </c>
      <c r="AP37" s="81"/>
      <c r="AQ37" s="102" t="s">
        <v>110</v>
      </c>
      <c r="AR37" s="1" t="s">
        <v>112</v>
      </c>
      <c r="AS37" s="1"/>
      <c r="AT37" s="83"/>
    </row>
    <row r="38" spans="1:324" ht="13.5" customHeight="1" x14ac:dyDescent="0.25">
      <c r="A38" s="1">
        <v>35</v>
      </c>
      <c r="B38" s="79">
        <v>45908</v>
      </c>
      <c r="C38" s="80">
        <v>0.56736111111111109</v>
      </c>
      <c r="D38" s="81"/>
      <c r="E38" s="81"/>
      <c r="F38" s="81"/>
      <c r="G38" s="81" t="s">
        <v>114</v>
      </c>
      <c r="H38" s="81" t="s">
        <v>164</v>
      </c>
      <c r="I38" s="79"/>
      <c r="J38" s="81" t="s">
        <v>122</v>
      </c>
      <c r="K38" s="81">
        <v>34</v>
      </c>
      <c r="L38" s="81">
        <v>5</v>
      </c>
      <c r="M38" s="81" t="s">
        <v>113</v>
      </c>
      <c r="N38" s="81">
        <v>2900</v>
      </c>
      <c r="O38" s="81">
        <v>46</v>
      </c>
      <c r="P38" s="81" t="s">
        <v>202</v>
      </c>
      <c r="Q38" s="81">
        <v>4</v>
      </c>
      <c r="R38" s="81" t="s">
        <v>110</v>
      </c>
      <c r="S38" s="81" t="s">
        <v>110</v>
      </c>
      <c r="T38" s="81" t="s">
        <v>110</v>
      </c>
      <c r="U38" s="81" t="s">
        <v>203</v>
      </c>
      <c r="V38" s="1"/>
      <c r="W38" s="81">
        <v>9</v>
      </c>
      <c r="X38" s="81">
        <v>9</v>
      </c>
      <c r="Y38" s="81" t="s">
        <v>111</v>
      </c>
      <c r="Z38" s="81" t="s">
        <v>111</v>
      </c>
      <c r="AA38" s="81" t="s">
        <v>111</v>
      </c>
      <c r="AB38" s="81" t="s">
        <v>111</v>
      </c>
      <c r="AC38" s="81" t="s">
        <v>111</v>
      </c>
      <c r="AD38" s="81" t="s">
        <v>110</v>
      </c>
      <c r="AE38" s="81" t="s">
        <v>111</v>
      </c>
      <c r="AF38" s="81" t="s">
        <v>111</v>
      </c>
      <c r="AG38" s="81" t="s">
        <v>142</v>
      </c>
      <c r="AH38" s="81" t="s">
        <v>111</v>
      </c>
      <c r="AI38" s="81" t="s">
        <v>125</v>
      </c>
      <c r="AJ38" s="81" t="s">
        <v>111</v>
      </c>
      <c r="AK38" s="81">
        <v>23</v>
      </c>
      <c r="AL38" s="81" t="s">
        <v>111</v>
      </c>
      <c r="AM38" s="81" t="s">
        <v>111</v>
      </c>
      <c r="AN38" s="81" t="s">
        <v>204</v>
      </c>
      <c r="AO38" s="81" t="s">
        <v>111</v>
      </c>
      <c r="AP38" s="81"/>
      <c r="AQ38" s="102" t="s">
        <v>110</v>
      </c>
      <c r="AR38" s="1" t="s">
        <v>137</v>
      </c>
      <c r="AS38" s="1"/>
      <c r="AT38" s="83"/>
    </row>
    <row r="39" spans="1:324" x14ac:dyDescent="0.25">
      <c r="A39" s="1">
        <v>36</v>
      </c>
      <c r="B39" s="79">
        <v>45908</v>
      </c>
      <c r="C39" s="80">
        <v>0.61458333333333337</v>
      </c>
      <c r="D39" s="81"/>
      <c r="E39" s="81"/>
      <c r="F39" s="81"/>
      <c r="G39" s="81" t="s">
        <v>114</v>
      </c>
      <c r="H39" s="81" t="s">
        <v>199</v>
      </c>
      <c r="I39" s="79"/>
      <c r="J39" s="81" t="s">
        <v>127</v>
      </c>
      <c r="K39" s="81">
        <v>24</v>
      </c>
      <c r="L39" s="81">
        <v>6</v>
      </c>
      <c r="M39" s="81" t="s">
        <v>123</v>
      </c>
      <c r="N39" s="81">
        <v>880</v>
      </c>
      <c r="O39" s="81">
        <v>33</v>
      </c>
      <c r="P39" s="81">
        <v>23.5</v>
      </c>
      <c r="Q39" s="81">
        <v>1</v>
      </c>
      <c r="R39" s="81" t="s">
        <v>111</v>
      </c>
      <c r="S39" s="81" t="s">
        <v>110</v>
      </c>
      <c r="T39" s="81" t="s">
        <v>110</v>
      </c>
      <c r="U39" s="81" t="s">
        <v>205</v>
      </c>
      <c r="V39" s="1"/>
      <c r="W39" s="81">
        <v>1</v>
      </c>
      <c r="X39" s="81">
        <v>5</v>
      </c>
      <c r="Y39" s="81" t="s">
        <v>110</v>
      </c>
      <c r="Z39" s="81" t="s">
        <v>110</v>
      </c>
      <c r="AA39" s="81" t="s">
        <v>111</v>
      </c>
      <c r="AB39" s="81" t="s">
        <v>111</v>
      </c>
      <c r="AC39" s="81" t="s">
        <v>111</v>
      </c>
      <c r="AD39" s="81" t="s">
        <v>111</v>
      </c>
      <c r="AE39" s="81" t="s">
        <v>111</v>
      </c>
      <c r="AF39" s="81" t="s">
        <v>111</v>
      </c>
      <c r="AG39" s="81" t="s">
        <v>142</v>
      </c>
      <c r="AH39" s="81" t="s">
        <v>111</v>
      </c>
      <c r="AI39" s="81" t="s">
        <v>125</v>
      </c>
      <c r="AJ39" s="81" t="s">
        <v>111</v>
      </c>
      <c r="AK39" s="81">
        <v>34</v>
      </c>
      <c r="AL39" s="81" t="s">
        <v>111</v>
      </c>
      <c r="AM39" s="81" t="s">
        <v>111</v>
      </c>
      <c r="AN39" s="81" t="s">
        <v>200</v>
      </c>
      <c r="AO39" s="81" t="s">
        <v>111</v>
      </c>
      <c r="AP39" s="81"/>
      <c r="AQ39" s="102" t="s">
        <v>110</v>
      </c>
      <c r="AR39" s="1" t="s">
        <v>201</v>
      </c>
      <c r="AS39" s="1"/>
      <c r="AT39" s="83" t="s">
        <v>111</v>
      </c>
    </row>
    <row r="40" spans="1:324" x14ac:dyDescent="0.25">
      <c r="A40" s="1">
        <v>37</v>
      </c>
      <c r="B40" s="79">
        <v>45909</v>
      </c>
      <c r="C40" s="80">
        <v>7.2916666666666671E-2</v>
      </c>
      <c r="D40" s="81"/>
      <c r="E40" s="81"/>
      <c r="F40" s="81"/>
      <c r="G40" s="81" t="s">
        <v>114</v>
      </c>
      <c r="H40" s="81" t="s">
        <v>121</v>
      </c>
      <c r="I40" s="79"/>
      <c r="J40" s="81" t="s">
        <v>122</v>
      </c>
      <c r="K40" s="81">
        <v>39</v>
      </c>
      <c r="L40" s="81">
        <v>1</v>
      </c>
      <c r="M40" s="81" t="s">
        <v>113</v>
      </c>
      <c r="N40" s="81">
        <v>3080</v>
      </c>
      <c r="O40" s="81">
        <v>49</v>
      </c>
      <c r="P40" s="81">
        <v>34</v>
      </c>
      <c r="Q40" s="81">
        <v>4</v>
      </c>
      <c r="R40" s="81" t="s">
        <v>110</v>
      </c>
      <c r="S40" s="81" t="s">
        <v>110</v>
      </c>
      <c r="T40" s="81" t="s">
        <v>110</v>
      </c>
      <c r="U40" s="81" t="s">
        <v>157</v>
      </c>
      <c r="V40" s="1"/>
      <c r="W40" s="81">
        <v>9</v>
      </c>
      <c r="X40" s="81">
        <v>10</v>
      </c>
      <c r="Y40" s="81" t="s">
        <v>111</v>
      </c>
      <c r="Z40" s="81" t="s">
        <v>111</v>
      </c>
      <c r="AA40" s="81" t="s">
        <v>111</v>
      </c>
      <c r="AB40" s="81" t="s">
        <v>111</v>
      </c>
      <c r="AC40" s="81" t="s">
        <v>111</v>
      </c>
      <c r="AD40" s="81" t="s">
        <v>110</v>
      </c>
      <c r="AE40" s="81" t="s">
        <v>111</v>
      </c>
      <c r="AF40" s="81" t="s">
        <v>111</v>
      </c>
      <c r="AG40" s="81" t="s">
        <v>142</v>
      </c>
      <c r="AH40" s="81" t="s">
        <v>111</v>
      </c>
      <c r="AI40" s="81" t="s">
        <v>125</v>
      </c>
      <c r="AJ40" s="81" t="s">
        <v>111</v>
      </c>
      <c r="AK40" s="81">
        <v>38</v>
      </c>
      <c r="AL40" s="81" t="s">
        <v>111</v>
      </c>
      <c r="AM40" s="81" t="s">
        <v>111</v>
      </c>
      <c r="AN40" s="81" t="s">
        <v>138</v>
      </c>
      <c r="AO40" s="81" t="s">
        <v>111</v>
      </c>
      <c r="AP40" s="81"/>
      <c r="AQ40" s="102" t="s">
        <v>110</v>
      </c>
      <c r="AR40" s="1" t="s">
        <v>112</v>
      </c>
      <c r="AS40" s="1"/>
      <c r="AT40" s="83"/>
    </row>
    <row r="41" spans="1:324" x14ac:dyDescent="0.25">
      <c r="A41" s="1">
        <v>38</v>
      </c>
      <c r="B41" s="151">
        <v>45909</v>
      </c>
      <c r="C41" s="80">
        <v>0.3125</v>
      </c>
      <c r="D41" s="123"/>
      <c r="E41" s="123"/>
      <c r="F41" s="81"/>
      <c r="G41" s="81" t="s">
        <v>162</v>
      </c>
      <c r="H41" s="81" t="s">
        <v>206</v>
      </c>
      <c r="I41" s="79"/>
      <c r="J41" s="81" t="s">
        <v>122</v>
      </c>
      <c r="K41" s="81">
        <v>36</v>
      </c>
      <c r="L41" s="81">
        <v>6</v>
      </c>
      <c r="M41" s="81" t="s">
        <v>123</v>
      </c>
      <c r="N41" s="81">
        <v>2650</v>
      </c>
      <c r="O41" s="81">
        <v>49</v>
      </c>
      <c r="P41" s="81">
        <v>34</v>
      </c>
      <c r="Q41" s="81">
        <v>4</v>
      </c>
      <c r="R41" s="81" t="s">
        <v>110</v>
      </c>
      <c r="S41" s="81" t="s">
        <v>110</v>
      </c>
      <c r="T41" s="81" t="s">
        <v>110</v>
      </c>
      <c r="U41" s="81" t="s">
        <v>157</v>
      </c>
      <c r="V41" s="1"/>
      <c r="W41" s="81">
        <v>9</v>
      </c>
      <c r="X41" s="81">
        <v>10</v>
      </c>
      <c r="Y41" s="81" t="s">
        <v>111</v>
      </c>
      <c r="Z41" s="81" t="s">
        <v>111</v>
      </c>
      <c r="AA41" s="81" t="s">
        <v>111</v>
      </c>
      <c r="AB41" s="81" t="s">
        <v>111</v>
      </c>
      <c r="AC41" s="81" t="s">
        <v>111</v>
      </c>
      <c r="AD41" s="81" t="s">
        <v>110</v>
      </c>
      <c r="AE41" s="81" t="s">
        <v>111</v>
      </c>
      <c r="AF41" s="81" t="s">
        <v>111</v>
      </c>
      <c r="AG41" s="81" t="s">
        <v>142</v>
      </c>
      <c r="AH41" s="81" t="s">
        <v>111</v>
      </c>
      <c r="AI41" s="81" t="s">
        <v>125</v>
      </c>
      <c r="AJ41" s="81" t="s">
        <v>111</v>
      </c>
      <c r="AK41" s="81">
        <v>21</v>
      </c>
      <c r="AL41" s="81" t="s">
        <v>111</v>
      </c>
      <c r="AM41" s="81" t="s">
        <v>111</v>
      </c>
      <c r="AN41" s="81" t="s">
        <v>207</v>
      </c>
      <c r="AO41" s="81" t="s">
        <v>111</v>
      </c>
      <c r="AP41" s="81"/>
      <c r="AQ41" s="102" t="s">
        <v>110</v>
      </c>
      <c r="AR41" s="1" t="s">
        <v>112</v>
      </c>
      <c r="AS41" s="1"/>
      <c r="AT41" s="83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</row>
    <row r="42" spans="1:324" x14ac:dyDescent="0.25">
      <c r="A42" s="1">
        <v>39</v>
      </c>
      <c r="B42" s="79">
        <v>45909</v>
      </c>
      <c r="C42" s="80">
        <v>0.40833333333333338</v>
      </c>
      <c r="D42" s="81"/>
      <c r="E42" s="81"/>
      <c r="F42" s="81"/>
      <c r="G42" s="81" t="s">
        <v>133</v>
      </c>
      <c r="H42" s="81" t="s">
        <v>134</v>
      </c>
      <c r="I42" s="79"/>
      <c r="J42" s="81" t="s">
        <v>129</v>
      </c>
      <c r="K42" s="81">
        <v>38</v>
      </c>
      <c r="L42" s="81">
        <v>4</v>
      </c>
      <c r="M42" s="81" t="s">
        <v>113</v>
      </c>
      <c r="N42" s="81">
        <v>3290</v>
      </c>
      <c r="O42" s="81">
        <v>49</v>
      </c>
      <c r="P42" s="81">
        <v>35</v>
      </c>
      <c r="Q42" s="81">
        <v>4</v>
      </c>
      <c r="R42" s="81" t="s">
        <v>110</v>
      </c>
      <c r="S42" s="81" t="s">
        <v>110</v>
      </c>
      <c r="T42" s="81" t="s">
        <v>110</v>
      </c>
      <c r="U42" s="81" t="s">
        <v>130</v>
      </c>
      <c r="V42" s="1"/>
      <c r="W42" s="81">
        <v>8</v>
      </c>
      <c r="X42" s="81">
        <v>9</v>
      </c>
      <c r="Y42" s="81" t="s">
        <v>111</v>
      </c>
      <c r="Z42" s="81" t="s">
        <v>111</v>
      </c>
      <c r="AA42" s="81" t="s">
        <v>111</v>
      </c>
      <c r="AB42" s="81" t="s">
        <v>110</v>
      </c>
      <c r="AC42" s="81" t="s">
        <v>110</v>
      </c>
      <c r="AD42" s="81" t="s">
        <v>110</v>
      </c>
      <c r="AE42" s="81" t="s">
        <v>111</v>
      </c>
      <c r="AF42" s="81" t="s">
        <v>111</v>
      </c>
      <c r="AG42" s="81" t="s">
        <v>142</v>
      </c>
      <c r="AH42" s="81" t="s">
        <v>111</v>
      </c>
      <c r="AI42" s="81" t="s">
        <v>125</v>
      </c>
      <c r="AJ42" s="81" t="s">
        <v>111</v>
      </c>
      <c r="AK42" s="81">
        <v>22</v>
      </c>
      <c r="AL42" s="81" t="s">
        <v>111</v>
      </c>
      <c r="AM42" s="81" t="s">
        <v>111</v>
      </c>
      <c r="AN42" s="81" t="s">
        <v>208</v>
      </c>
      <c r="AO42" s="81" t="s">
        <v>111</v>
      </c>
      <c r="AP42" s="81"/>
      <c r="AQ42" s="102" t="s">
        <v>110</v>
      </c>
      <c r="AR42" s="1" t="s">
        <v>131</v>
      </c>
      <c r="AS42" s="1"/>
      <c r="AT42" s="83" t="s">
        <v>110</v>
      </c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  <c r="BS42" s="149"/>
      <c r="BT42" s="149"/>
      <c r="BU42" s="149"/>
      <c r="BV42" s="149"/>
      <c r="BW42" s="149"/>
      <c r="BX42" s="149"/>
      <c r="BY42" s="149"/>
      <c r="BZ42" s="149"/>
      <c r="CA42" s="149"/>
      <c r="CB42" s="149"/>
      <c r="CC42" s="149"/>
      <c r="CD42" s="149"/>
      <c r="CE42" s="149"/>
      <c r="CF42" s="149"/>
      <c r="CG42" s="149"/>
      <c r="CH42" s="149"/>
      <c r="CI42" s="149"/>
      <c r="CJ42" s="149"/>
      <c r="CK42" s="149"/>
      <c r="CL42" s="149"/>
      <c r="CM42" s="149"/>
      <c r="CN42" s="149"/>
      <c r="CO42" s="149"/>
      <c r="CP42" s="149"/>
      <c r="CQ42" s="149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  <c r="DB42" s="149"/>
      <c r="DC42" s="149"/>
      <c r="DD42" s="149"/>
      <c r="DE42" s="149"/>
      <c r="DF42" s="149"/>
      <c r="DG42" s="149"/>
      <c r="DH42" s="149"/>
      <c r="DI42" s="149"/>
      <c r="DJ42" s="149"/>
      <c r="DK42" s="149"/>
      <c r="DL42" s="149"/>
      <c r="DM42" s="149"/>
      <c r="DN42" s="149"/>
      <c r="DO42" s="149"/>
      <c r="DP42" s="149"/>
      <c r="DQ42" s="149"/>
      <c r="DR42" s="149"/>
      <c r="DS42" s="149"/>
      <c r="DT42" s="149"/>
      <c r="DU42" s="149"/>
      <c r="DV42" s="149"/>
      <c r="DW42" s="149"/>
      <c r="DX42" s="149"/>
      <c r="DY42" s="149"/>
      <c r="DZ42" s="149"/>
      <c r="EA42" s="149"/>
      <c r="EB42" s="149"/>
      <c r="EC42" s="149"/>
      <c r="ED42" s="149"/>
      <c r="EE42" s="149"/>
      <c r="EF42" s="149"/>
      <c r="EG42" s="149"/>
      <c r="EH42" s="149"/>
      <c r="EI42" s="149"/>
      <c r="EJ42" s="149"/>
      <c r="EK42" s="149"/>
      <c r="EL42" s="149"/>
      <c r="EM42" s="149"/>
      <c r="EN42" s="149"/>
      <c r="EO42" s="149"/>
      <c r="EP42" s="149"/>
      <c r="EQ42" s="149"/>
      <c r="ER42" s="149"/>
      <c r="ES42" s="149"/>
      <c r="ET42" s="149"/>
      <c r="EU42" s="149"/>
      <c r="EV42" s="149"/>
      <c r="EW42" s="149"/>
      <c r="EX42" s="149"/>
      <c r="EY42" s="149"/>
      <c r="EZ42" s="149"/>
      <c r="FA42" s="149"/>
      <c r="FB42" s="149"/>
      <c r="FC42" s="149"/>
      <c r="FD42" s="149"/>
      <c r="FE42" s="149"/>
      <c r="FF42" s="149"/>
      <c r="FG42" s="149"/>
      <c r="FH42" s="149"/>
      <c r="FI42" s="149"/>
      <c r="FJ42" s="149"/>
      <c r="FK42" s="149"/>
      <c r="FL42" s="149"/>
      <c r="FM42" s="149"/>
      <c r="FN42" s="149"/>
      <c r="FO42" s="149"/>
      <c r="FP42" s="149"/>
      <c r="FQ42" s="149"/>
      <c r="FR42" s="149"/>
      <c r="FS42" s="149"/>
      <c r="FT42" s="149"/>
      <c r="FU42" s="149"/>
      <c r="FV42" s="149"/>
      <c r="FW42" s="149"/>
      <c r="FX42" s="149"/>
      <c r="FY42" s="149"/>
      <c r="FZ42" s="149"/>
      <c r="GA42" s="149"/>
      <c r="GB42" s="149"/>
      <c r="GC42" s="149"/>
      <c r="GD42" s="149"/>
      <c r="GE42" s="149"/>
      <c r="GF42" s="149"/>
      <c r="GG42" s="149"/>
      <c r="GH42" s="149"/>
      <c r="GI42" s="149"/>
      <c r="GJ42" s="149"/>
      <c r="GK42" s="149"/>
      <c r="GL42" s="149"/>
      <c r="GM42" s="149"/>
      <c r="GN42" s="149"/>
      <c r="GO42" s="149"/>
      <c r="GP42" s="149"/>
      <c r="GQ42" s="149"/>
      <c r="GR42" s="149"/>
      <c r="GS42" s="149"/>
      <c r="GT42" s="149"/>
      <c r="GU42" s="149"/>
      <c r="GV42" s="149"/>
      <c r="GW42" s="149"/>
      <c r="GX42" s="149"/>
      <c r="GY42" s="149"/>
      <c r="GZ42" s="149"/>
      <c r="HA42" s="149"/>
      <c r="HB42" s="149"/>
      <c r="HC42" s="149"/>
      <c r="HD42" s="149"/>
      <c r="HE42" s="149"/>
      <c r="HF42" s="149"/>
      <c r="HG42" s="149"/>
      <c r="HH42" s="149"/>
      <c r="HI42" s="149"/>
      <c r="HJ42" s="149"/>
      <c r="HK42" s="149"/>
      <c r="HL42" s="149"/>
      <c r="HM42" s="149"/>
      <c r="HN42" s="149"/>
      <c r="HO42" s="149"/>
      <c r="HP42" s="149"/>
      <c r="HQ42" s="149"/>
      <c r="HR42" s="149"/>
      <c r="HS42" s="149"/>
      <c r="HT42" s="149"/>
      <c r="HU42" s="149"/>
      <c r="HV42" s="149"/>
      <c r="HW42" s="149"/>
      <c r="HX42" s="149"/>
      <c r="HY42" s="149"/>
      <c r="HZ42" s="149"/>
      <c r="IA42" s="149"/>
      <c r="IB42" s="149"/>
      <c r="IC42" s="149"/>
      <c r="ID42" s="149"/>
      <c r="IE42" s="149"/>
      <c r="IF42" s="149"/>
      <c r="IG42" s="149"/>
      <c r="IH42" s="149"/>
      <c r="II42" s="149"/>
      <c r="IJ42" s="149"/>
      <c r="IK42" s="149"/>
      <c r="IL42" s="149"/>
      <c r="IM42" s="149"/>
      <c r="IN42" s="149"/>
      <c r="IO42" s="149"/>
      <c r="IP42" s="149"/>
      <c r="IQ42" s="149"/>
      <c r="IR42" s="149"/>
      <c r="IS42" s="149"/>
      <c r="IT42" s="149"/>
      <c r="IU42" s="149"/>
      <c r="IV42" s="149"/>
      <c r="IW42" s="149"/>
      <c r="IX42" s="149"/>
      <c r="IY42" s="149"/>
      <c r="IZ42" s="149"/>
      <c r="JA42" s="149"/>
      <c r="JB42" s="149"/>
      <c r="JC42" s="149"/>
      <c r="JD42" s="149"/>
      <c r="JE42" s="149"/>
      <c r="JF42" s="149"/>
      <c r="JG42" s="149"/>
      <c r="JH42" s="149"/>
      <c r="JI42" s="149"/>
      <c r="JJ42" s="149"/>
      <c r="JK42" s="149"/>
      <c r="JL42" s="149"/>
      <c r="JM42" s="149"/>
      <c r="JN42" s="149"/>
      <c r="JO42" s="149"/>
      <c r="JP42" s="149"/>
      <c r="JQ42" s="149"/>
      <c r="JR42" s="149"/>
      <c r="JS42" s="149"/>
      <c r="JT42" s="149"/>
      <c r="JU42" s="149"/>
      <c r="JV42" s="149"/>
      <c r="JW42" s="149"/>
      <c r="JX42" s="149"/>
      <c r="JY42" s="149"/>
      <c r="JZ42" s="149"/>
      <c r="KA42" s="149"/>
      <c r="KB42" s="149"/>
      <c r="KC42" s="149"/>
      <c r="KD42" s="149"/>
      <c r="KE42" s="149"/>
      <c r="KF42" s="149"/>
      <c r="KG42" s="149"/>
      <c r="KH42" s="149"/>
      <c r="KI42" s="149"/>
      <c r="KJ42" s="149"/>
      <c r="KK42" s="149"/>
      <c r="KL42" s="149"/>
      <c r="KM42" s="149"/>
      <c r="KN42" s="149"/>
      <c r="KO42" s="149"/>
      <c r="KP42" s="149"/>
      <c r="KQ42" s="149"/>
      <c r="KR42" s="149"/>
      <c r="KS42" s="149"/>
      <c r="KT42" s="149"/>
      <c r="KU42" s="149"/>
      <c r="KV42" s="149"/>
      <c r="KW42" s="149"/>
      <c r="KX42" s="149"/>
      <c r="KY42" s="149"/>
      <c r="KZ42" s="149"/>
      <c r="LA42" s="149"/>
      <c r="LB42" s="149"/>
      <c r="LC42" s="149"/>
      <c r="LD42" s="149"/>
      <c r="LE42" s="149"/>
      <c r="LF42" s="149"/>
      <c r="LG42" s="149"/>
      <c r="LH42" s="149"/>
      <c r="LI42" s="149"/>
      <c r="LJ42" s="149"/>
      <c r="LK42" s="149"/>
      <c r="LL42" s="149"/>
    </row>
    <row r="43" spans="1:324" x14ac:dyDescent="0.25">
      <c r="A43" s="1">
        <v>40</v>
      </c>
      <c r="B43" s="79">
        <v>45909</v>
      </c>
      <c r="C43" s="80">
        <v>0.7090277777777777</v>
      </c>
      <c r="D43" s="81"/>
      <c r="E43" s="81"/>
      <c r="F43" s="81"/>
      <c r="G43" s="81" t="s">
        <v>114</v>
      </c>
      <c r="H43" s="81" t="s">
        <v>177</v>
      </c>
      <c r="I43" s="79"/>
      <c r="J43" s="81" t="s">
        <v>122</v>
      </c>
      <c r="K43" s="81">
        <v>40</v>
      </c>
      <c r="L43" s="81">
        <v>0</v>
      </c>
      <c r="M43" s="81" t="s">
        <v>113</v>
      </c>
      <c r="N43" s="81">
        <v>3535</v>
      </c>
      <c r="O43" s="81">
        <v>50</v>
      </c>
      <c r="P43" s="81">
        <v>35</v>
      </c>
      <c r="Q43" s="81">
        <v>4</v>
      </c>
      <c r="R43" s="81" t="s">
        <v>110</v>
      </c>
      <c r="S43" s="81" t="s">
        <v>110</v>
      </c>
      <c r="T43" s="81" t="s">
        <v>110</v>
      </c>
      <c r="U43" s="81" t="s">
        <v>132</v>
      </c>
      <c r="V43" s="1"/>
      <c r="W43" s="81">
        <v>9</v>
      </c>
      <c r="X43" s="81">
        <v>10</v>
      </c>
      <c r="Y43" s="81" t="s">
        <v>111</v>
      </c>
      <c r="Z43" s="81" t="s">
        <v>111</v>
      </c>
      <c r="AA43" s="81" t="s">
        <v>111</v>
      </c>
      <c r="AB43" s="81" t="s">
        <v>111</v>
      </c>
      <c r="AC43" s="81" t="s">
        <v>111</v>
      </c>
      <c r="AD43" s="81" t="s">
        <v>110</v>
      </c>
      <c r="AE43" s="81" t="s">
        <v>111</v>
      </c>
      <c r="AF43" s="81" t="s">
        <v>111</v>
      </c>
      <c r="AG43" s="81" t="s">
        <v>142</v>
      </c>
      <c r="AH43" s="81" t="s">
        <v>111</v>
      </c>
      <c r="AI43" s="81" t="s">
        <v>125</v>
      </c>
      <c r="AJ43" s="81" t="s">
        <v>111</v>
      </c>
      <c r="AK43" s="81">
        <v>26</v>
      </c>
      <c r="AL43" s="81" t="s">
        <v>111</v>
      </c>
      <c r="AM43" s="81" t="s">
        <v>111</v>
      </c>
      <c r="AN43" s="81" t="s">
        <v>158</v>
      </c>
      <c r="AO43" s="81" t="s">
        <v>111</v>
      </c>
      <c r="AP43" s="81"/>
      <c r="AQ43" s="102" t="s">
        <v>110</v>
      </c>
      <c r="AR43" s="1" t="s">
        <v>112</v>
      </c>
      <c r="AS43" s="1"/>
      <c r="AT43" s="83"/>
    </row>
    <row r="44" spans="1:324" s="69" customFormat="1" x14ac:dyDescent="0.25">
      <c r="A44" s="1">
        <v>41</v>
      </c>
      <c r="B44" s="79">
        <v>45909</v>
      </c>
      <c r="C44" s="80">
        <v>0.81041666666666667</v>
      </c>
      <c r="D44" s="81"/>
      <c r="E44" s="81"/>
      <c r="F44" s="81"/>
      <c r="G44" s="81" t="s">
        <v>114</v>
      </c>
      <c r="H44" s="81" t="s">
        <v>209</v>
      </c>
      <c r="I44" s="79"/>
      <c r="J44" s="81" t="s">
        <v>122</v>
      </c>
      <c r="K44" s="81">
        <v>39</v>
      </c>
      <c r="L44" s="81">
        <v>0</v>
      </c>
      <c r="M44" s="81" t="s">
        <v>123</v>
      </c>
      <c r="N44" s="81">
        <v>3720</v>
      </c>
      <c r="O44" s="81">
        <v>51</v>
      </c>
      <c r="P44" s="81">
        <v>35</v>
      </c>
      <c r="Q44" s="81">
        <v>4</v>
      </c>
      <c r="R44" s="81" t="s">
        <v>110</v>
      </c>
      <c r="S44" s="81" t="s">
        <v>110</v>
      </c>
      <c r="T44" s="81" t="s">
        <v>110</v>
      </c>
      <c r="U44" s="81" t="s">
        <v>132</v>
      </c>
      <c r="V44" s="1"/>
      <c r="W44" s="81">
        <v>9</v>
      </c>
      <c r="X44" s="81">
        <v>10</v>
      </c>
      <c r="Y44" s="81" t="s">
        <v>111</v>
      </c>
      <c r="Z44" s="81" t="s">
        <v>111</v>
      </c>
      <c r="AA44" s="81" t="s">
        <v>111</v>
      </c>
      <c r="AB44" s="81" t="s">
        <v>111</v>
      </c>
      <c r="AC44" s="81" t="s">
        <v>111</v>
      </c>
      <c r="AD44" s="81" t="s">
        <v>110</v>
      </c>
      <c r="AE44" s="81" t="s">
        <v>111</v>
      </c>
      <c r="AF44" s="81" t="s">
        <v>111</v>
      </c>
      <c r="AG44" s="81" t="s">
        <v>142</v>
      </c>
      <c r="AH44" s="81" t="s">
        <v>111</v>
      </c>
      <c r="AI44" s="81" t="s">
        <v>125</v>
      </c>
      <c r="AJ44" s="81" t="s">
        <v>111</v>
      </c>
      <c r="AK44" s="81">
        <v>39</v>
      </c>
      <c r="AL44" s="81" t="s">
        <v>111</v>
      </c>
      <c r="AM44" s="81" t="s">
        <v>111</v>
      </c>
      <c r="AN44" s="81" t="s">
        <v>138</v>
      </c>
      <c r="AO44" s="81" t="s">
        <v>111</v>
      </c>
      <c r="AP44" s="81"/>
      <c r="AQ44" s="102" t="s">
        <v>110</v>
      </c>
      <c r="AR44" s="68" t="s">
        <v>112</v>
      </c>
      <c r="AS44" s="68"/>
      <c r="AT44" s="86"/>
      <c r="AU44" s="92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</row>
    <row r="45" spans="1:324" s="70" customFormat="1" x14ac:dyDescent="0.25">
      <c r="A45" s="1">
        <v>42</v>
      </c>
      <c r="B45" s="79">
        <v>45910</v>
      </c>
      <c r="C45" s="80">
        <v>3.6805555555555557E-2</v>
      </c>
      <c r="D45" s="81"/>
      <c r="E45" s="81"/>
      <c r="F45" s="81"/>
      <c r="G45" s="81" t="s">
        <v>159</v>
      </c>
      <c r="H45" s="81" t="s">
        <v>159</v>
      </c>
      <c r="I45" s="79"/>
      <c r="J45" s="81" t="s">
        <v>42</v>
      </c>
      <c r="K45" s="81">
        <v>41</v>
      </c>
      <c r="L45" s="81">
        <v>2</v>
      </c>
      <c r="M45" s="81" t="s">
        <v>123</v>
      </c>
      <c r="N45" s="81">
        <v>4190</v>
      </c>
      <c r="O45" s="81">
        <v>52</v>
      </c>
      <c r="P45" s="81">
        <v>36</v>
      </c>
      <c r="Q45" s="81">
        <v>4</v>
      </c>
      <c r="R45" s="81" t="s">
        <v>110</v>
      </c>
      <c r="S45" s="81" t="s">
        <v>110</v>
      </c>
      <c r="T45" s="81" t="s">
        <v>110</v>
      </c>
      <c r="U45" s="81" t="s">
        <v>124</v>
      </c>
      <c r="V45" s="1"/>
      <c r="W45" s="81">
        <v>9</v>
      </c>
      <c r="X45" s="81">
        <v>10</v>
      </c>
      <c r="Y45" s="81" t="s">
        <v>111</v>
      </c>
      <c r="Z45" s="81" t="s">
        <v>111</v>
      </c>
      <c r="AA45" s="81" t="s">
        <v>111</v>
      </c>
      <c r="AB45" s="81" t="s">
        <v>111</v>
      </c>
      <c r="AC45" s="81" t="s">
        <v>111</v>
      </c>
      <c r="AD45" s="81" t="s">
        <v>110</v>
      </c>
      <c r="AE45" s="81" t="s">
        <v>111</v>
      </c>
      <c r="AF45" s="81" t="s">
        <v>111</v>
      </c>
      <c r="AG45" s="81" t="s">
        <v>142</v>
      </c>
      <c r="AH45" s="81" t="s">
        <v>111</v>
      </c>
      <c r="AI45" s="81" t="s">
        <v>125</v>
      </c>
      <c r="AJ45" s="81" t="s">
        <v>111</v>
      </c>
      <c r="AK45" s="81">
        <v>34</v>
      </c>
      <c r="AL45" s="81" t="s">
        <v>111</v>
      </c>
      <c r="AM45" s="81" t="s">
        <v>111</v>
      </c>
      <c r="AN45" s="81" t="s">
        <v>210</v>
      </c>
      <c r="AO45" s="81" t="s">
        <v>111</v>
      </c>
      <c r="AP45" s="81"/>
      <c r="AQ45" s="102" t="s">
        <v>110</v>
      </c>
      <c r="AR45" s="68" t="s">
        <v>112</v>
      </c>
      <c r="AS45" s="68"/>
      <c r="AT45" s="86"/>
      <c r="AU45" s="92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50"/>
      <c r="BL45" s="150"/>
      <c r="BM45" s="150"/>
      <c r="BN45" s="150"/>
      <c r="BO45" s="150"/>
      <c r="BP45" s="150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50"/>
      <c r="CB45" s="150"/>
      <c r="CC45" s="150"/>
      <c r="CD45" s="150"/>
      <c r="CE45" s="150"/>
      <c r="CF45" s="150"/>
      <c r="CG45" s="150"/>
      <c r="CH45" s="150"/>
      <c r="CI45" s="150"/>
      <c r="CJ45" s="150"/>
      <c r="CK45" s="150"/>
      <c r="CL45" s="150"/>
      <c r="CM45" s="150"/>
      <c r="CN45" s="150"/>
      <c r="CO45" s="150"/>
      <c r="CP45" s="150"/>
      <c r="CQ45" s="150"/>
      <c r="CR45" s="150"/>
      <c r="CS45" s="150"/>
      <c r="CT45" s="150"/>
      <c r="CU45" s="150"/>
      <c r="CV45" s="150"/>
      <c r="CW45" s="150"/>
      <c r="CX45" s="150"/>
      <c r="CY45" s="150"/>
      <c r="CZ45" s="150"/>
      <c r="DA45" s="150"/>
      <c r="DB45" s="150"/>
      <c r="DC45" s="150"/>
      <c r="DD45" s="150"/>
      <c r="DE45" s="150"/>
      <c r="DF45" s="150"/>
      <c r="DG45" s="150"/>
      <c r="DH45" s="150"/>
      <c r="DI45" s="150"/>
      <c r="DJ45" s="150"/>
      <c r="DK45" s="150"/>
      <c r="DL45" s="150"/>
      <c r="DM45" s="150"/>
      <c r="DN45" s="150"/>
      <c r="DO45" s="150"/>
      <c r="DP45" s="150"/>
      <c r="DQ45" s="150"/>
      <c r="DR45" s="150"/>
      <c r="DS45" s="150"/>
      <c r="DT45" s="150"/>
      <c r="DU45" s="150"/>
      <c r="DV45" s="150"/>
      <c r="DW45" s="150"/>
      <c r="DX45" s="150"/>
      <c r="DY45" s="150"/>
      <c r="DZ45" s="150"/>
      <c r="EA45" s="150"/>
      <c r="EB45" s="150"/>
      <c r="EC45" s="150"/>
      <c r="ED45" s="150"/>
      <c r="EE45" s="150"/>
      <c r="EF45" s="150"/>
      <c r="EG45" s="150"/>
      <c r="EH45" s="150"/>
      <c r="EI45" s="150"/>
      <c r="EJ45" s="150"/>
      <c r="EK45" s="150"/>
      <c r="EL45" s="150"/>
      <c r="EM45" s="150"/>
      <c r="EN45" s="150"/>
      <c r="EO45" s="150"/>
      <c r="EP45" s="150"/>
      <c r="EQ45" s="150"/>
      <c r="ER45" s="150"/>
      <c r="ES45" s="150"/>
      <c r="ET45" s="150"/>
      <c r="EU45" s="150"/>
      <c r="EV45" s="150"/>
      <c r="EW45" s="150"/>
      <c r="EX45" s="150"/>
      <c r="EY45" s="150"/>
      <c r="EZ45" s="150"/>
      <c r="FA45" s="150"/>
      <c r="FB45" s="150"/>
      <c r="FC45" s="150"/>
      <c r="FD45" s="150"/>
      <c r="FE45" s="150"/>
      <c r="FF45" s="150"/>
      <c r="FG45" s="150"/>
      <c r="FH45" s="150"/>
      <c r="FI45" s="150"/>
      <c r="FJ45" s="150"/>
      <c r="FK45" s="150"/>
      <c r="FL45" s="150"/>
      <c r="FM45" s="150"/>
      <c r="FN45" s="150"/>
      <c r="FO45" s="150"/>
      <c r="FP45" s="150"/>
      <c r="FQ45" s="150"/>
      <c r="FR45" s="150"/>
      <c r="FS45" s="150"/>
      <c r="FT45" s="150"/>
      <c r="FU45" s="150"/>
      <c r="FV45" s="150"/>
      <c r="FW45" s="150"/>
      <c r="FX45" s="150"/>
      <c r="FY45" s="150"/>
      <c r="FZ45" s="150"/>
      <c r="GA45" s="150"/>
      <c r="GB45" s="150"/>
      <c r="GC45" s="150"/>
      <c r="GD45" s="150"/>
      <c r="GE45" s="150"/>
      <c r="GF45" s="150"/>
      <c r="GG45" s="150"/>
      <c r="GH45" s="150"/>
      <c r="GI45" s="150"/>
      <c r="GJ45" s="150"/>
      <c r="GK45" s="150"/>
      <c r="GL45" s="150"/>
      <c r="GM45" s="150"/>
      <c r="GN45" s="150"/>
      <c r="GO45" s="150"/>
      <c r="GP45" s="150"/>
      <c r="GQ45" s="150"/>
      <c r="GR45" s="150"/>
      <c r="GS45" s="150"/>
      <c r="GT45" s="150"/>
      <c r="GU45" s="150"/>
      <c r="GV45" s="150"/>
      <c r="GW45" s="150"/>
      <c r="GX45" s="150"/>
      <c r="GY45" s="150"/>
      <c r="GZ45" s="150"/>
      <c r="HA45" s="150"/>
      <c r="HB45" s="150"/>
      <c r="HC45" s="150"/>
      <c r="HD45" s="150"/>
      <c r="HE45" s="150"/>
      <c r="HF45" s="150"/>
      <c r="HG45" s="150"/>
      <c r="HH45" s="150"/>
      <c r="HI45" s="150"/>
      <c r="HJ45" s="150"/>
      <c r="HK45" s="150"/>
      <c r="HL45" s="150"/>
      <c r="HM45" s="150"/>
      <c r="HN45" s="150"/>
      <c r="HO45" s="150"/>
      <c r="HP45" s="150"/>
      <c r="HQ45" s="150"/>
      <c r="HR45" s="150"/>
      <c r="HS45" s="150"/>
      <c r="HT45" s="150"/>
      <c r="HU45" s="150"/>
      <c r="HV45" s="150"/>
      <c r="HW45" s="150"/>
      <c r="HX45" s="150"/>
      <c r="HY45" s="150"/>
      <c r="HZ45" s="150"/>
      <c r="IA45" s="150"/>
      <c r="IB45" s="150"/>
      <c r="IC45" s="150"/>
      <c r="ID45" s="150"/>
      <c r="IE45" s="150"/>
      <c r="IF45" s="150"/>
      <c r="IG45" s="150"/>
      <c r="IH45" s="150"/>
      <c r="II45" s="150"/>
      <c r="IJ45" s="150"/>
      <c r="IK45" s="150"/>
      <c r="IL45" s="150"/>
      <c r="IM45" s="150"/>
      <c r="IN45" s="150"/>
      <c r="IO45" s="150"/>
      <c r="IP45" s="150"/>
      <c r="IQ45" s="150"/>
      <c r="IR45" s="150"/>
      <c r="IS45" s="150"/>
      <c r="IT45" s="150"/>
      <c r="IU45" s="150"/>
      <c r="IV45" s="150"/>
      <c r="IW45" s="150"/>
      <c r="IX45" s="150"/>
      <c r="IY45" s="150"/>
      <c r="IZ45" s="150"/>
      <c r="JA45" s="150"/>
      <c r="JB45" s="150"/>
      <c r="JC45" s="150"/>
      <c r="JD45" s="150"/>
      <c r="JE45" s="150"/>
      <c r="JF45" s="150"/>
      <c r="JG45" s="150"/>
      <c r="JH45" s="150"/>
      <c r="JI45" s="150"/>
      <c r="JJ45" s="150"/>
      <c r="JK45" s="150"/>
      <c r="JL45" s="150"/>
      <c r="JM45" s="150"/>
      <c r="JN45" s="150"/>
      <c r="JO45" s="150"/>
      <c r="JP45" s="150"/>
      <c r="JQ45" s="150"/>
      <c r="JR45" s="150"/>
      <c r="JS45" s="150"/>
      <c r="JT45" s="150"/>
      <c r="JU45" s="150"/>
      <c r="JV45" s="150"/>
      <c r="JW45" s="150"/>
      <c r="JX45" s="150"/>
      <c r="JY45" s="150"/>
      <c r="JZ45" s="150"/>
      <c r="KA45" s="150"/>
      <c r="KB45" s="150"/>
      <c r="KC45" s="150"/>
      <c r="KD45" s="150"/>
      <c r="KE45" s="150"/>
      <c r="KF45" s="150"/>
      <c r="KG45" s="150"/>
      <c r="KH45" s="150"/>
      <c r="KI45" s="150"/>
      <c r="KJ45" s="150"/>
      <c r="KK45" s="150"/>
      <c r="KL45" s="150"/>
      <c r="KM45" s="150"/>
      <c r="KN45" s="150"/>
      <c r="KO45" s="150"/>
      <c r="KP45" s="150"/>
      <c r="KQ45" s="150"/>
      <c r="KR45" s="150"/>
      <c r="KS45" s="150"/>
      <c r="KT45" s="150"/>
      <c r="KU45" s="150"/>
      <c r="KV45" s="150"/>
      <c r="KW45" s="150"/>
      <c r="KX45" s="150"/>
      <c r="KY45" s="150"/>
      <c r="KZ45" s="150"/>
      <c r="LA45" s="150"/>
      <c r="LB45" s="150"/>
      <c r="LC45" s="150"/>
      <c r="LD45" s="150"/>
      <c r="LE45" s="150"/>
      <c r="LF45" s="150"/>
      <c r="LG45" s="150"/>
      <c r="LH45" s="150"/>
      <c r="LI45" s="150"/>
      <c r="LJ45" s="150"/>
      <c r="LK45" s="150"/>
      <c r="LL45" s="150"/>
    </row>
    <row r="46" spans="1:324" x14ac:dyDescent="0.25">
      <c r="A46" s="1">
        <v>43</v>
      </c>
      <c r="B46" s="79">
        <v>45910</v>
      </c>
      <c r="C46" s="80">
        <v>0.13541666666666666</v>
      </c>
      <c r="D46" s="81"/>
      <c r="E46" s="81"/>
      <c r="F46" s="81"/>
      <c r="G46" s="81" t="s">
        <v>179</v>
      </c>
      <c r="H46" s="81" t="s">
        <v>128</v>
      </c>
      <c r="I46" s="79"/>
      <c r="J46" s="81" t="s">
        <v>127</v>
      </c>
      <c r="K46" s="81">
        <v>38</v>
      </c>
      <c r="L46" s="81">
        <v>2</v>
      </c>
      <c r="M46" s="81" t="s">
        <v>123</v>
      </c>
      <c r="N46" s="81">
        <v>4260</v>
      </c>
      <c r="O46" s="81">
        <v>49</v>
      </c>
      <c r="P46" s="81">
        <v>36.5</v>
      </c>
      <c r="Q46" s="81">
        <v>4</v>
      </c>
      <c r="R46" s="81" t="s">
        <v>111</v>
      </c>
      <c r="S46" s="81" t="s">
        <v>110</v>
      </c>
      <c r="T46" s="81" t="s">
        <v>110</v>
      </c>
      <c r="U46" s="81" t="s">
        <v>124</v>
      </c>
      <c r="V46" s="1"/>
      <c r="W46" s="81">
        <v>8</v>
      </c>
      <c r="X46" s="81">
        <v>8</v>
      </c>
      <c r="Y46" s="81" t="s">
        <v>110</v>
      </c>
      <c r="Z46" s="81" t="s">
        <v>111</v>
      </c>
      <c r="AA46" s="81" t="s">
        <v>111</v>
      </c>
      <c r="AB46" s="81" t="s">
        <v>111</v>
      </c>
      <c r="AC46" s="81" t="s">
        <v>111</v>
      </c>
      <c r="AD46" s="81" t="s">
        <v>110</v>
      </c>
      <c r="AE46" s="81" t="s">
        <v>111</v>
      </c>
      <c r="AF46" s="81" t="s">
        <v>111</v>
      </c>
      <c r="AG46" s="81" t="s">
        <v>142</v>
      </c>
      <c r="AH46" s="81" t="s">
        <v>111</v>
      </c>
      <c r="AI46" s="81" t="s">
        <v>125</v>
      </c>
      <c r="AJ46" s="81" t="s">
        <v>111</v>
      </c>
      <c r="AK46" s="81">
        <v>24</v>
      </c>
      <c r="AL46" s="81" t="s">
        <v>111</v>
      </c>
      <c r="AM46" s="81" t="s">
        <v>111</v>
      </c>
      <c r="AN46" s="81" t="s">
        <v>211</v>
      </c>
      <c r="AO46" s="81" t="s">
        <v>111</v>
      </c>
      <c r="AP46" s="81"/>
      <c r="AQ46" s="102" t="s">
        <v>110</v>
      </c>
      <c r="AR46" s="1" t="s">
        <v>137</v>
      </c>
      <c r="AS46" s="1"/>
      <c r="AT46" s="83"/>
    </row>
    <row r="47" spans="1:324" s="82" customFormat="1" x14ac:dyDescent="0.25">
      <c r="A47" s="1">
        <v>44</v>
      </c>
      <c r="B47" s="79">
        <v>45910</v>
      </c>
      <c r="C47" s="80">
        <v>0.21249999999999999</v>
      </c>
      <c r="D47" s="81"/>
      <c r="E47" s="81"/>
      <c r="F47" s="81"/>
      <c r="G47" s="81" t="s">
        <v>114</v>
      </c>
      <c r="H47" s="81" t="s">
        <v>212</v>
      </c>
      <c r="I47" s="79"/>
      <c r="J47" s="81" t="s">
        <v>122</v>
      </c>
      <c r="K47" s="81">
        <v>36</v>
      </c>
      <c r="L47" s="81">
        <v>0</v>
      </c>
      <c r="M47" s="81" t="s">
        <v>123</v>
      </c>
      <c r="N47" s="81">
        <v>3330</v>
      </c>
      <c r="O47" s="81">
        <v>48.5</v>
      </c>
      <c r="P47" s="81">
        <v>35.5</v>
      </c>
      <c r="Q47" s="81">
        <v>4</v>
      </c>
      <c r="R47" s="81" t="s">
        <v>110</v>
      </c>
      <c r="S47" s="81" t="s">
        <v>110</v>
      </c>
      <c r="T47" s="81" t="s">
        <v>110</v>
      </c>
      <c r="U47" s="81" t="s">
        <v>124</v>
      </c>
      <c r="V47" s="1"/>
      <c r="W47" s="81">
        <v>9</v>
      </c>
      <c r="X47" s="81">
        <v>10</v>
      </c>
      <c r="Y47" s="81" t="s">
        <v>111</v>
      </c>
      <c r="Z47" s="81" t="s">
        <v>111</v>
      </c>
      <c r="AA47" s="81" t="s">
        <v>111</v>
      </c>
      <c r="AB47" s="81" t="s">
        <v>111</v>
      </c>
      <c r="AC47" s="81" t="s">
        <v>111</v>
      </c>
      <c r="AD47" s="81" t="s">
        <v>110</v>
      </c>
      <c r="AE47" s="81" t="s">
        <v>111</v>
      </c>
      <c r="AF47" s="81" t="s">
        <v>111</v>
      </c>
      <c r="AG47" s="81" t="s">
        <v>142</v>
      </c>
      <c r="AH47" s="81" t="s">
        <v>111</v>
      </c>
      <c r="AI47" s="81" t="s">
        <v>125</v>
      </c>
      <c r="AJ47" s="81" t="s">
        <v>111</v>
      </c>
      <c r="AK47" s="81">
        <v>34</v>
      </c>
      <c r="AL47" s="81" t="s">
        <v>111</v>
      </c>
      <c r="AM47" s="81" t="s">
        <v>111</v>
      </c>
      <c r="AN47" s="81" t="s">
        <v>181</v>
      </c>
      <c r="AO47" s="81" t="s">
        <v>111</v>
      </c>
      <c r="AP47" s="81"/>
      <c r="AQ47" s="102" t="s">
        <v>110</v>
      </c>
      <c r="AR47" s="81" t="s">
        <v>112</v>
      </c>
      <c r="AS47" s="81"/>
      <c r="AT47" s="87"/>
      <c r="AU47" s="81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</row>
    <row r="48" spans="1:324" x14ac:dyDescent="0.25">
      <c r="A48" s="1">
        <v>45</v>
      </c>
      <c r="B48" s="79">
        <v>45910</v>
      </c>
      <c r="C48" s="80">
        <v>0.31805555555555554</v>
      </c>
      <c r="D48" s="81"/>
      <c r="E48" s="81"/>
      <c r="F48" s="81"/>
      <c r="G48" s="81" t="s">
        <v>154</v>
      </c>
      <c r="H48" s="81" t="s">
        <v>154</v>
      </c>
      <c r="I48" s="79"/>
      <c r="J48" s="81" t="s">
        <v>122</v>
      </c>
      <c r="K48" s="81">
        <v>39</v>
      </c>
      <c r="L48" s="81">
        <v>1</v>
      </c>
      <c r="M48" s="81" t="s">
        <v>113</v>
      </c>
      <c r="N48" s="81">
        <v>3110</v>
      </c>
      <c r="O48" s="81">
        <v>48.5</v>
      </c>
      <c r="P48" s="81">
        <v>34</v>
      </c>
      <c r="Q48" s="81">
        <v>4</v>
      </c>
      <c r="R48" s="81" t="s">
        <v>110</v>
      </c>
      <c r="S48" s="81" t="s">
        <v>110</v>
      </c>
      <c r="T48" s="81" t="s">
        <v>110</v>
      </c>
      <c r="U48" s="81" t="s">
        <v>213</v>
      </c>
      <c r="V48" s="1"/>
      <c r="W48" s="81">
        <v>9</v>
      </c>
      <c r="X48" s="81">
        <v>10</v>
      </c>
      <c r="Y48" s="81" t="s">
        <v>111</v>
      </c>
      <c r="Z48" s="81" t="s">
        <v>111</v>
      </c>
      <c r="AA48" s="81" t="s">
        <v>111</v>
      </c>
      <c r="AB48" s="81" t="s">
        <v>111</v>
      </c>
      <c r="AC48" s="81" t="s">
        <v>111</v>
      </c>
      <c r="AD48" s="81" t="s">
        <v>110</v>
      </c>
      <c r="AE48" s="81" t="s">
        <v>111</v>
      </c>
      <c r="AF48" s="81" t="s">
        <v>111</v>
      </c>
      <c r="AG48" s="81" t="s">
        <v>142</v>
      </c>
      <c r="AH48" s="81" t="s">
        <v>111</v>
      </c>
      <c r="AI48" s="81" t="s">
        <v>125</v>
      </c>
      <c r="AJ48" s="81" t="s">
        <v>111</v>
      </c>
      <c r="AK48" s="81">
        <v>29</v>
      </c>
      <c r="AL48" s="81" t="s">
        <v>111</v>
      </c>
      <c r="AM48" s="81" t="s">
        <v>111</v>
      </c>
      <c r="AN48" s="81" t="s">
        <v>138</v>
      </c>
      <c r="AO48" s="81" t="s">
        <v>111</v>
      </c>
      <c r="AP48" s="81"/>
      <c r="AQ48" s="102" t="s">
        <v>110</v>
      </c>
      <c r="AR48" s="1" t="s">
        <v>112</v>
      </c>
      <c r="AS48" s="1"/>
      <c r="AT48" s="83"/>
    </row>
    <row r="49" spans="1:324" x14ac:dyDescent="0.25">
      <c r="A49" s="1">
        <v>46</v>
      </c>
      <c r="B49" s="79">
        <v>45910</v>
      </c>
      <c r="C49" s="80">
        <v>0.41319444444444442</v>
      </c>
      <c r="D49" s="81"/>
      <c r="E49" s="81"/>
      <c r="F49" s="81"/>
      <c r="G49" s="81" t="s">
        <v>162</v>
      </c>
      <c r="H49" s="81" t="s">
        <v>162</v>
      </c>
      <c r="I49" s="79"/>
      <c r="J49" s="81" t="s">
        <v>129</v>
      </c>
      <c r="K49" s="81">
        <v>40</v>
      </c>
      <c r="L49" s="81">
        <v>3</v>
      </c>
      <c r="M49" s="81" t="s">
        <v>113</v>
      </c>
      <c r="N49" s="81">
        <v>4070</v>
      </c>
      <c r="O49" s="81">
        <v>52</v>
      </c>
      <c r="P49" s="81">
        <v>37</v>
      </c>
      <c r="Q49" s="81">
        <v>4</v>
      </c>
      <c r="R49" s="81" t="s">
        <v>110</v>
      </c>
      <c r="S49" s="81" t="s">
        <v>110</v>
      </c>
      <c r="T49" s="81" t="s">
        <v>110</v>
      </c>
      <c r="U49" s="81" t="s">
        <v>130</v>
      </c>
      <c r="V49" s="1"/>
      <c r="W49" s="81">
        <v>9</v>
      </c>
      <c r="X49" s="81">
        <v>10</v>
      </c>
      <c r="Y49" s="81" t="s">
        <v>111</v>
      </c>
      <c r="Z49" s="81" t="s">
        <v>111</v>
      </c>
      <c r="AA49" s="81" t="s">
        <v>111</v>
      </c>
      <c r="AB49" s="81" t="s">
        <v>110</v>
      </c>
      <c r="AC49" s="81" t="s">
        <v>110</v>
      </c>
      <c r="AD49" s="81" t="s">
        <v>110</v>
      </c>
      <c r="AE49" s="81" t="s">
        <v>111</v>
      </c>
      <c r="AF49" s="81" t="s">
        <v>111</v>
      </c>
      <c r="AG49" s="81" t="s">
        <v>142</v>
      </c>
      <c r="AH49" s="81" t="s">
        <v>111</v>
      </c>
      <c r="AI49" s="81" t="s">
        <v>125</v>
      </c>
      <c r="AJ49" s="81" t="s">
        <v>111</v>
      </c>
      <c r="AK49" s="81">
        <v>29</v>
      </c>
      <c r="AL49" s="81" t="s">
        <v>111</v>
      </c>
      <c r="AM49" s="81" t="s">
        <v>111</v>
      </c>
      <c r="AN49" s="81" t="s">
        <v>194</v>
      </c>
      <c r="AO49" s="81" t="s">
        <v>111</v>
      </c>
      <c r="AP49" s="81"/>
      <c r="AQ49" s="102" t="s">
        <v>110</v>
      </c>
      <c r="AR49" s="1" t="s">
        <v>131</v>
      </c>
      <c r="AS49" s="1"/>
      <c r="AT49" s="83" t="s">
        <v>110</v>
      </c>
      <c r="AU49" s="81" t="s">
        <v>197</v>
      </c>
    </row>
    <row r="50" spans="1:324" x14ac:dyDescent="0.25">
      <c r="A50" s="1">
        <v>47</v>
      </c>
      <c r="B50" s="151">
        <v>45910</v>
      </c>
      <c r="C50" s="80">
        <v>0.49027777777777781</v>
      </c>
      <c r="D50" s="81"/>
      <c r="E50" s="81"/>
      <c r="F50" s="81"/>
      <c r="G50" s="81" t="s">
        <v>114</v>
      </c>
      <c r="H50" s="81" t="s">
        <v>214</v>
      </c>
      <c r="I50" s="79"/>
      <c r="J50" s="81" t="s">
        <v>129</v>
      </c>
      <c r="K50" s="81">
        <v>37</v>
      </c>
      <c r="L50" s="81">
        <v>6</v>
      </c>
      <c r="M50" s="81" t="s">
        <v>123</v>
      </c>
      <c r="N50" s="81">
        <v>2940</v>
      </c>
      <c r="O50" s="81">
        <v>48</v>
      </c>
      <c r="P50" s="81">
        <v>33</v>
      </c>
      <c r="Q50" s="81">
        <v>4</v>
      </c>
      <c r="R50" s="81" t="s">
        <v>110</v>
      </c>
      <c r="S50" s="81" t="s">
        <v>110</v>
      </c>
      <c r="T50" s="81" t="s">
        <v>110</v>
      </c>
      <c r="U50" s="81" t="s">
        <v>130</v>
      </c>
      <c r="V50" s="1"/>
      <c r="W50" s="81">
        <v>9</v>
      </c>
      <c r="X50" s="81">
        <v>10</v>
      </c>
      <c r="Y50" s="81" t="s">
        <v>111</v>
      </c>
      <c r="Z50" s="81" t="s">
        <v>111</v>
      </c>
      <c r="AA50" s="81" t="s">
        <v>111</v>
      </c>
      <c r="AB50" s="81" t="s">
        <v>110</v>
      </c>
      <c r="AC50" s="81" t="s">
        <v>111</v>
      </c>
      <c r="AD50" s="81" t="s">
        <v>110</v>
      </c>
      <c r="AE50" s="81" t="s">
        <v>111</v>
      </c>
      <c r="AF50" s="81" t="s">
        <v>111</v>
      </c>
      <c r="AG50" s="81" t="s">
        <v>142</v>
      </c>
      <c r="AH50" s="81" t="s">
        <v>111</v>
      </c>
      <c r="AI50" s="81" t="s">
        <v>125</v>
      </c>
      <c r="AJ50" s="81" t="s">
        <v>111</v>
      </c>
      <c r="AK50" s="81">
        <v>32</v>
      </c>
      <c r="AL50" s="81" t="s">
        <v>111</v>
      </c>
      <c r="AM50" s="81" t="s">
        <v>111</v>
      </c>
      <c r="AN50" s="81" t="s">
        <v>215</v>
      </c>
      <c r="AO50" s="81" t="s">
        <v>111</v>
      </c>
      <c r="AP50" s="81"/>
      <c r="AQ50" s="102" t="s">
        <v>110</v>
      </c>
      <c r="AR50" s="1" t="s">
        <v>131</v>
      </c>
      <c r="AS50" s="1"/>
      <c r="AT50" s="83" t="s">
        <v>110</v>
      </c>
    </row>
    <row r="51" spans="1:324" x14ac:dyDescent="0.25">
      <c r="A51" s="1">
        <v>48</v>
      </c>
      <c r="B51" s="111">
        <v>45910</v>
      </c>
      <c r="C51" s="112">
        <v>0.75138888888888899</v>
      </c>
      <c r="D51" s="96"/>
      <c r="E51" s="96"/>
      <c r="F51" s="96"/>
      <c r="G51" s="96" t="s">
        <v>114</v>
      </c>
      <c r="H51" s="96" t="s">
        <v>121</v>
      </c>
      <c r="I51" s="111"/>
      <c r="J51" s="96" t="s">
        <v>127</v>
      </c>
      <c r="K51" s="96">
        <v>36</v>
      </c>
      <c r="L51" s="96">
        <v>4</v>
      </c>
      <c r="M51" s="96" t="s">
        <v>113</v>
      </c>
      <c r="N51" s="96">
        <v>2180</v>
      </c>
      <c r="O51" s="96">
        <v>45.5</v>
      </c>
      <c r="P51" s="96">
        <v>32</v>
      </c>
      <c r="Q51" s="96">
        <v>4</v>
      </c>
      <c r="R51" s="96" t="s">
        <v>110</v>
      </c>
      <c r="S51" s="96" t="s">
        <v>110</v>
      </c>
      <c r="T51" s="96" t="s">
        <v>110</v>
      </c>
      <c r="U51" s="96" t="s">
        <v>216</v>
      </c>
      <c r="V51" s="2"/>
      <c r="W51" s="96">
        <v>9</v>
      </c>
      <c r="X51" s="96">
        <v>9</v>
      </c>
      <c r="Y51" s="96" t="s">
        <v>111</v>
      </c>
      <c r="Z51" s="96" t="s">
        <v>111</v>
      </c>
      <c r="AA51" s="96" t="s">
        <v>110</v>
      </c>
      <c r="AB51" s="96" t="s">
        <v>111</v>
      </c>
      <c r="AC51" s="96" t="s">
        <v>111</v>
      </c>
      <c r="AD51" s="96" t="s">
        <v>110</v>
      </c>
      <c r="AE51" s="96" t="s">
        <v>111</v>
      </c>
      <c r="AF51" s="96" t="s">
        <v>111</v>
      </c>
      <c r="AG51" s="96" t="s">
        <v>142</v>
      </c>
      <c r="AH51" s="96" t="s">
        <v>111</v>
      </c>
      <c r="AI51" s="96" t="s">
        <v>125</v>
      </c>
      <c r="AJ51" s="96" t="s">
        <v>111</v>
      </c>
      <c r="AK51" s="96">
        <v>33</v>
      </c>
      <c r="AL51" s="96" t="s">
        <v>111</v>
      </c>
      <c r="AM51" s="96" t="s">
        <v>111</v>
      </c>
      <c r="AN51" s="96" t="s">
        <v>219</v>
      </c>
      <c r="AO51" s="96" t="s">
        <v>111</v>
      </c>
      <c r="AP51" s="96"/>
      <c r="AQ51" s="125" t="s">
        <v>110</v>
      </c>
      <c r="AR51" s="2" t="s">
        <v>131</v>
      </c>
      <c r="AS51" s="2"/>
      <c r="AT51" s="95" t="s">
        <v>110</v>
      </c>
    </row>
    <row r="52" spans="1:324" x14ac:dyDescent="0.25">
      <c r="A52" s="1">
        <v>49</v>
      </c>
      <c r="B52" s="111">
        <v>45910</v>
      </c>
      <c r="C52" s="112">
        <v>0.75277777777777777</v>
      </c>
      <c r="D52" s="96"/>
      <c r="E52" s="96"/>
      <c r="F52" s="96"/>
      <c r="G52" s="96" t="s">
        <v>114</v>
      </c>
      <c r="H52" s="96" t="s">
        <v>121</v>
      </c>
      <c r="I52" s="111"/>
      <c r="J52" s="96" t="s">
        <v>127</v>
      </c>
      <c r="K52" s="96">
        <v>36</v>
      </c>
      <c r="L52" s="96">
        <v>4</v>
      </c>
      <c r="M52" s="96" t="s">
        <v>123</v>
      </c>
      <c r="N52" s="96">
        <v>1878</v>
      </c>
      <c r="O52" s="96">
        <v>44</v>
      </c>
      <c r="P52" s="96">
        <v>30.5</v>
      </c>
      <c r="Q52" s="96">
        <v>1</v>
      </c>
      <c r="R52" s="96" t="s">
        <v>110</v>
      </c>
      <c r="S52" s="96" t="s">
        <v>110</v>
      </c>
      <c r="T52" s="96" t="s">
        <v>110</v>
      </c>
      <c r="U52" s="96" t="s">
        <v>217</v>
      </c>
      <c r="V52" s="2"/>
      <c r="W52" s="96">
        <v>9</v>
      </c>
      <c r="X52" s="96">
        <v>9</v>
      </c>
      <c r="Y52" s="96" t="s">
        <v>111</v>
      </c>
      <c r="Z52" s="96" t="s">
        <v>111</v>
      </c>
      <c r="AA52" s="96" t="s">
        <v>111</v>
      </c>
      <c r="AB52" s="96" t="s">
        <v>111</v>
      </c>
      <c r="AC52" s="96" t="s">
        <v>111</v>
      </c>
      <c r="AD52" s="96" t="s">
        <v>110</v>
      </c>
      <c r="AE52" s="96" t="s">
        <v>111</v>
      </c>
      <c r="AF52" s="96" t="s">
        <v>111</v>
      </c>
      <c r="AG52" s="96" t="s">
        <v>142</v>
      </c>
      <c r="AH52" s="96" t="s">
        <v>111</v>
      </c>
      <c r="AI52" s="96" t="s">
        <v>125</v>
      </c>
      <c r="AJ52" s="96" t="s">
        <v>111</v>
      </c>
      <c r="AK52" s="96">
        <v>33</v>
      </c>
      <c r="AL52" s="96" t="s">
        <v>111</v>
      </c>
      <c r="AM52" s="96" t="s">
        <v>111</v>
      </c>
      <c r="AN52" s="96" t="s">
        <v>218</v>
      </c>
      <c r="AO52" s="96" t="s">
        <v>111</v>
      </c>
      <c r="AP52" s="96"/>
      <c r="AQ52" s="125" t="s">
        <v>111</v>
      </c>
      <c r="AR52" s="96" t="s">
        <v>137</v>
      </c>
      <c r="AS52" s="126"/>
      <c r="AT52" s="126" t="s">
        <v>110</v>
      </c>
      <c r="AU52" s="124"/>
    </row>
    <row r="53" spans="1:324" x14ac:dyDescent="0.25">
      <c r="A53" s="1">
        <v>50</v>
      </c>
      <c r="B53" s="79">
        <v>45911</v>
      </c>
      <c r="C53" s="80">
        <v>0.42152777777777778</v>
      </c>
      <c r="D53" s="81"/>
      <c r="E53" s="81"/>
      <c r="F53" s="81"/>
      <c r="G53" s="91" t="s">
        <v>154</v>
      </c>
      <c r="H53" s="81" t="s">
        <v>154</v>
      </c>
      <c r="I53" s="79"/>
      <c r="J53" s="81" t="s">
        <v>129</v>
      </c>
      <c r="K53" s="81">
        <v>38</v>
      </c>
      <c r="L53" s="81">
        <v>2</v>
      </c>
      <c r="M53" s="81" t="s">
        <v>123</v>
      </c>
      <c r="N53" s="81">
        <v>3567</v>
      </c>
      <c r="O53" s="81">
        <v>48</v>
      </c>
      <c r="P53" s="81">
        <v>35.5</v>
      </c>
      <c r="Q53" s="81">
        <v>4</v>
      </c>
      <c r="R53" s="81" t="s">
        <v>110</v>
      </c>
      <c r="S53" s="81" t="s">
        <v>110</v>
      </c>
      <c r="T53" s="81" t="s">
        <v>110</v>
      </c>
      <c r="U53" s="81" t="s">
        <v>130</v>
      </c>
      <c r="V53" s="1"/>
      <c r="W53" s="81">
        <v>9</v>
      </c>
      <c r="X53" s="81">
        <v>9</v>
      </c>
      <c r="Y53" s="81" t="s">
        <v>111</v>
      </c>
      <c r="Z53" s="81" t="s">
        <v>111</v>
      </c>
      <c r="AA53" s="81" t="s">
        <v>111</v>
      </c>
      <c r="AB53" s="81" t="s">
        <v>110</v>
      </c>
      <c r="AC53" s="81" t="s">
        <v>111</v>
      </c>
      <c r="AD53" s="81" t="s">
        <v>110</v>
      </c>
      <c r="AE53" s="81" t="s">
        <v>111</v>
      </c>
      <c r="AF53" s="81" t="s">
        <v>111</v>
      </c>
      <c r="AG53" s="81" t="s">
        <v>142</v>
      </c>
      <c r="AH53" s="81" t="s">
        <v>111</v>
      </c>
      <c r="AI53" s="81" t="s">
        <v>125</v>
      </c>
      <c r="AJ53" s="81" t="s">
        <v>111</v>
      </c>
      <c r="AK53" s="81">
        <v>27</v>
      </c>
      <c r="AL53" s="81" t="s">
        <v>111</v>
      </c>
      <c r="AM53" s="81" t="s">
        <v>111</v>
      </c>
      <c r="AN53" s="81" t="s">
        <v>160</v>
      </c>
      <c r="AO53" s="81" t="s">
        <v>111</v>
      </c>
      <c r="AP53" s="81"/>
      <c r="AQ53" s="101" t="s">
        <v>110</v>
      </c>
      <c r="AR53" s="1" t="s">
        <v>131</v>
      </c>
      <c r="AS53" s="1"/>
      <c r="AT53" s="83" t="s">
        <v>110</v>
      </c>
    </row>
    <row r="54" spans="1:324" x14ac:dyDescent="0.25">
      <c r="A54" s="1">
        <v>51</v>
      </c>
      <c r="B54" s="79">
        <v>45911</v>
      </c>
      <c r="C54" s="80">
        <v>0.44027777777777777</v>
      </c>
      <c r="D54" s="81"/>
      <c r="E54" s="81"/>
      <c r="F54" s="81"/>
      <c r="G54" s="81" t="s">
        <v>179</v>
      </c>
      <c r="H54" s="81" t="s">
        <v>179</v>
      </c>
      <c r="I54" s="79"/>
      <c r="J54" s="81" t="s">
        <v>127</v>
      </c>
      <c r="K54" s="81">
        <v>38</v>
      </c>
      <c r="L54" s="81">
        <v>0</v>
      </c>
      <c r="M54" s="81" t="s">
        <v>113</v>
      </c>
      <c r="N54" s="81">
        <v>3880</v>
      </c>
      <c r="O54" s="81">
        <v>51</v>
      </c>
      <c r="P54" s="81">
        <v>36</v>
      </c>
      <c r="Q54" s="81">
        <v>4</v>
      </c>
      <c r="R54" s="81" t="s">
        <v>110</v>
      </c>
      <c r="S54" s="81" t="s">
        <v>110</v>
      </c>
      <c r="T54" s="81" t="s">
        <v>110</v>
      </c>
      <c r="U54" s="81" t="s">
        <v>157</v>
      </c>
      <c r="V54" s="1"/>
      <c r="W54" s="81">
        <v>9</v>
      </c>
      <c r="X54" s="81">
        <v>10</v>
      </c>
      <c r="Y54" s="81" t="s">
        <v>111</v>
      </c>
      <c r="Z54" s="81" t="s">
        <v>111</v>
      </c>
      <c r="AA54" s="81" t="s">
        <v>111</v>
      </c>
      <c r="AB54" s="81" t="s">
        <v>110</v>
      </c>
      <c r="AC54" s="81" t="s">
        <v>111</v>
      </c>
      <c r="AD54" s="81" t="s">
        <v>111</v>
      </c>
      <c r="AE54" s="81" t="s">
        <v>111</v>
      </c>
      <c r="AF54" s="81" t="s">
        <v>111</v>
      </c>
      <c r="AG54" s="81" t="s">
        <v>142</v>
      </c>
      <c r="AH54" s="81" t="s">
        <v>111</v>
      </c>
      <c r="AI54" s="81" t="s">
        <v>125</v>
      </c>
      <c r="AJ54" s="81" t="s">
        <v>111</v>
      </c>
      <c r="AK54" s="81">
        <v>31</v>
      </c>
      <c r="AL54" s="81" t="s">
        <v>111</v>
      </c>
      <c r="AM54" s="81" t="s">
        <v>111</v>
      </c>
      <c r="AN54" s="81" t="s">
        <v>220</v>
      </c>
      <c r="AO54" s="81" t="s">
        <v>111</v>
      </c>
      <c r="AP54" s="81"/>
      <c r="AQ54" s="101" t="s">
        <v>110</v>
      </c>
      <c r="AR54" s="1" t="s">
        <v>131</v>
      </c>
      <c r="AS54" s="1"/>
      <c r="AT54" s="83" t="s">
        <v>110</v>
      </c>
    </row>
    <row r="55" spans="1:324" s="45" customFormat="1" x14ac:dyDescent="0.25">
      <c r="A55" s="1">
        <v>52</v>
      </c>
      <c r="B55" s="79">
        <v>45911</v>
      </c>
      <c r="C55" s="80">
        <v>0.59930555555555554</v>
      </c>
      <c r="D55" s="81"/>
      <c r="E55" s="81"/>
      <c r="F55" s="81"/>
      <c r="G55" s="81" t="s">
        <v>114</v>
      </c>
      <c r="H55" s="81" t="s">
        <v>121</v>
      </c>
      <c r="I55" s="79"/>
      <c r="J55" s="81" t="s">
        <v>122</v>
      </c>
      <c r="K55" s="81">
        <v>38</v>
      </c>
      <c r="L55" s="81">
        <v>1</v>
      </c>
      <c r="M55" s="81" t="s">
        <v>113</v>
      </c>
      <c r="N55" s="81">
        <v>2900</v>
      </c>
      <c r="O55" s="81">
        <v>48</v>
      </c>
      <c r="P55" s="81">
        <v>33</v>
      </c>
      <c r="Q55" s="81">
        <v>4</v>
      </c>
      <c r="R55" s="81" t="s">
        <v>110</v>
      </c>
      <c r="S55" s="81" t="s">
        <v>110</v>
      </c>
      <c r="T55" s="81" t="s">
        <v>110</v>
      </c>
      <c r="U55" s="81" t="s">
        <v>130</v>
      </c>
      <c r="V55" s="1"/>
      <c r="W55" s="81">
        <v>9</v>
      </c>
      <c r="X55" s="81">
        <v>10</v>
      </c>
      <c r="Y55" s="81" t="s">
        <v>111</v>
      </c>
      <c r="Z55" s="81" t="s">
        <v>111</v>
      </c>
      <c r="AA55" s="81" t="s">
        <v>111</v>
      </c>
      <c r="AB55" s="81" t="s">
        <v>111</v>
      </c>
      <c r="AC55" s="81" t="s">
        <v>111</v>
      </c>
      <c r="AD55" s="81" t="s">
        <v>111</v>
      </c>
      <c r="AE55" s="81" t="s">
        <v>111</v>
      </c>
      <c r="AF55" s="81" t="s">
        <v>111</v>
      </c>
      <c r="AG55" s="81" t="s">
        <v>222</v>
      </c>
      <c r="AH55" s="81" t="s">
        <v>110</v>
      </c>
      <c r="AI55" s="81" t="s">
        <v>125</v>
      </c>
      <c r="AJ55" s="81" t="s">
        <v>111</v>
      </c>
      <c r="AK55" s="81">
        <v>35</v>
      </c>
      <c r="AL55" s="81" t="s">
        <v>111</v>
      </c>
      <c r="AM55" s="81" t="s">
        <v>111</v>
      </c>
      <c r="AN55" s="81" t="s">
        <v>221</v>
      </c>
      <c r="AO55" s="81" t="s">
        <v>111</v>
      </c>
      <c r="AP55" s="81"/>
      <c r="AQ55" s="103" t="s">
        <v>110</v>
      </c>
      <c r="AR55" s="7" t="s">
        <v>112</v>
      </c>
      <c r="AS55" s="7"/>
      <c r="AT55" s="85"/>
      <c r="AU55" s="91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</row>
    <row r="56" spans="1:324" s="90" customFormat="1" x14ac:dyDescent="0.25">
      <c r="A56" s="1">
        <v>53</v>
      </c>
      <c r="B56" s="79">
        <v>45911</v>
      </c>
      <c r="C56" s="80">
        <v>0.61527777777777781</v>
      </c>
      <c r="D56" s="81"/>
      <c r="E56" s="81"/>
      <c r="F56" s="81"/>
      <c r="G56" s="81" t="s">
        <v>114</v>
      </c>
      <c r="H56" s="81" t="s">
        <v>121</v>
      </c>
      <c r="I56" s="79"/>
      <c r="J56" s="81" t="s">
        <v>122</v>
      </c>
      <c r="K56" s="81">
        <v>39</v>
      </c>
      <c r="L56" s="81">
        <v>3</v>
      </c>
      <c r="M56" s="81" t="s">
        <v>123</v>
      </c>
      <c r="N56" s="81">
        <v>3890</v>
      </c>
      <c r="O56" s="81">
        <v>54</v>
      </c>
      <c r="P56" s="81">
        <v>36.5</v>
      </c>
      <c r="Q56" s="81">
        <v>4</v>
      </c>
      <c r="R56" s="81" t="s">
        <v>110</v>
      </c>
      <c r="S56" s="81" t="s">
        <v>110</v>
      </c>
      <c r="T56" s="81" t="s">
        <v>110</v>
      </c>
      <c r="U56" s="81" t="s">
        <v>157</v>
      </c>
      <c r="V56" s="1"/>
      <c r="W56" s="81">
        <v>9</v>
      </c>
      <c r="X56" s="81">
        <v>10</v>
      </c>
      <c r="Y56" s="81" t="s">
        <v>111</v>
      </c>
      <c r="Z56" s="81" t="s">
        <v>111</v>
      </c>
      <c r="AA56" s="81" t="s">
        <v>111</v>
      </c>
      <c r="AB56" s="81" t="s">
        <v>111</v>
      </c>
      <c r="AC56" s="81" t="s">
        <v>111</v>
      </c>
      <c r="AD56" s="81" t="s">
        <v>110</v>
      </c>
      <c r="AE56" s="81" t="s">
        <v>111</v>
      </c>
      <c r="AF56" s="81" t="s">
        <v>111</v>
      </c>
      <c r="AG56" s="81" t="s">
        <v>142</v>
      </c>
      <c r="AH56" s="81" t="s">
        <v>111</v>
      </c>
      <c r="AI56" s="81" t="s">
        <v>125</v>
      </c>
      <c r="AJ56" s="81" t="s">
        <v>111</v>
      </c>
      <c r="AK56" s="81">
        <v>24</v>
      </c>
      <c r="AL56" s="81" t="s">
        <v>111</v>
      </c>
      <c r="AM56" s="81" t="s">
        <v>111</v>
      </c>
      <c r="AN56" s="81" t="s">
        <v>138</v>
      </c>
      <c r="AO56" s="81" t="s">
        <v>111</v>
      </c>
      <c r="AP56" s="81"/>
      <c r="AQ56" s="103" t="s">
        <v>110</v>
      </c>
      <c r="AR56" s="1" t="s">
        <v>112</v>
      </c>
      <c r="AS56" s="1"/>
      <c r="AT56" s="83"/>
      <c r="AU56" s="81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</row>
    <row r="57" spans="1:324" s="45" customFormat="1" x14ac:dyDescent="0.25">
      <c r="A57" s="1">
        <v>54</v>
      </c>
      <c r="B57" s="127">
        <v>45911</v>
      </c>
      <c r="C57" s="128">
        <v>0.65347222222222223</v>
      </c>
      <c r="D57" s="91"/>
      <c r="E57" s="91"/>
      <c r="F57" s="91"/>
      <c r="G57" s="91" t="s">
        <v>139</v>
      </c>
      <c r="H57" s="152" t="s">
        <v>147</v>
      </c>
      <c r="I57" s="127"/>
      <c r="J57" s="91" t="s">
        <v>127</v>
      </c>
      <c r="K57" s="91">
        <v>37</v>
      </c>
      <c r="L57" s="91">
        <v>2</v>
      </c>
      <c r="M57" s="91" t="s">
        <v>123</v>
      </c>
      <c r="N57" s="91">
        <v>3030</v>
      </c>
      <c r="O57" s="91">
        <v>47.5</v>
      </c>
      <c r="P57" s="91">
        <v>33</v>
      </c>
      <c r="Q57" s="91">
        <v>4</v>
      </c>
      <c r="R57" s="91" t="s">
        <v>110</v>
      </c>
      <c r="S57" s="91" t="s">
        <v>110</v>
      </c>
      <c r="T57" s="91" t="s">
        <v>110</v>
      </c>
      <c r="U57" s="91" t="s">
        <v>130</v>
      </c>
      <c r="V57" s="7"/>
      <c r="W57" s="91">
        <v>9</v>
      </c>
      <c r="X57" s="91">
        <v>10</v>
      </c>
      <c r="Y57" s="91" t="s">
        <v>111</v>
      </c>
      <c r="Z57" s="91" t="s">
        <v>111</v>
      </c>
      <c r="AA57" s="91" t="s">
        <v>111</v>
      </c>
      <c r="AB57" s="91" t="s">
        <v>111</v>
      </c>
      <c r="AC57" s="91" t="s">
        <v>111</v>
      </c>
      <c r="AD57" s="91" t="s">
        <v>110</v>
      </c>
      <c r="AE57" s="91" t="s">
        <v>111</v>
      </c>
      <c r="AF57" s="91" t="s">
        <v>111</v>
      </c>
      <c r="AG57" s="91" t="s">
        <v>142</v>
      </c>
      <c r="AH57" s="91" t="s">
        <v>111</v>
      </c>
      <c r="AI57" s="91" t="s">
        <v>125</v>
      </c>
      <c r="AJ57" s="91" t="s">
        <v>111</v>
      </c>
      <c r="AK57" s="91">
        <v>36</v>
      </c>
      <c r="AL57" s="91" t="s">
        <v>111</v>
      </c>
      <c r="AM57" s="91" t="s">
        <v>111</v>
      </c>
      <c r="AN57" s="91" t="s">
        <v>223</v>
      </c>
      <c r="AO57" s="91" t="s">
        <v>111</v>
      </c>
      <c r="AP57" s="91"/>
      <c r="AQ57" s="103" t="s">
        <v>110</v>
      </c>
      <c r="AR57" s="7" t="s">
        <v>131</v>
      </c>
      <c r="AS57" s="7"/>
      <c r="AT57" s="85" t="s">
        <v>110</v>
      </c>
      <c r="AU57" s="91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89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</row>
    <row r="58" spans="1:324" x14ac:dyDescent="0.25">
      <c r="A58" s="1">
        <v>55</v>
      </c>
      <c r="B58" s="127">
        <v>45911</v>
      </c>
      <c r="C58" s="128">
        <v>0.96805555555555556</v>
      </c>
      <c r="D58" s="91"/>
      <c r="E58" s="91"/>
      <c r="F58" s="91"/>
      <c r="G58" s="91" t="s">
        <v>162</v>
      </c>
      <c r="H58" s="138" t="s">
        <v>162</v>
      </c>
      <c r="I58" s="127"/>
      <c r="J58" s="81" t="s">
        <v>122</v>
      </c>
      <c r="K58" s="91">
        <v>38</v>
      </c>
      <c r="L58" s="91">
        <v>0</v>
      </c>
      <c r="M58" s="91" t="s">
        <v>113</v>
      </c>
      <c r="N58" s="91">
        <v>2810</v>
      </c>
      <c r="O58" s="91">
        <v>48</v>
      </c>
      <c r="P58" s="91">
        <v>33</v>
      </c>
      <c r="Q58" s="91">
        <v>4</v>
      </c>
      <c r="R58" s="91" t="s">
        <v>110</v>
      </c>
      <c r="S58" s="91" t="s">
        <v>110</v>
      </c>
      <c r="T58" s="91" t="s">
        <v>110</v>
      </c>
      <c r="U58" s="91" t="s">
        <v>135</v>
      </c>
      <c r="V58" s="7"/>
      <c r="W58" s="91">
        <v>9</v>
      </c>
      <c r="X58" s="91">
        <v>10</v>
      </c>
      <c r="Y58" s="91" t="s">
        <v>111</v>
      </c>
      <c r="Z58" s="91" t="s">
        <v>111</v>
      </c>
      <c r="AA58" s="91" t="s">
        <v>111</v>
      </c>
      <c r="AB58" s="91" t="s">
        <v>111</v>
      </c>
      <c r="AC58" s="91" t="s">
        <v>111</v>
      </c>
      <c r="AD58" s="91" t="s">
        <v>111</v>
      </c>
      <c r="AE58" s="91" t="s">
        <v>111</v>
      </c>
      <c r="AF58" s="91" t="s">
        <v>111</v>
      </c>
      <c r="AG58" s="91" t="s">
        <v>142</v>
      </c>
      <c r="AH58" s="91" t="s">
        <v>111</v>
      </c>
      <c r="AI58" s="91" t="s">
        <v>125</v>
      </c>
      <c r="AJ58" s="91" t="s">
        <v>111</v>
      </c>
      <c r="AK58" s="91">
        <v>31</v>
      </c>
      <c r="AL58" s="91" t="s">
        <v>111</v>
      </c>
      <c r="AM58" s="91" t="s">
        <v>111</v>
      </c>
      <c r="AN58" s="91" t="s">
        <v>160</v>
      </c>
      <c r="AO58" s="91" t="s">
        <v>111</v>
      </c>
      <c r="AP58" s="91"/>
      <c r="AQ58" s="103" t="s">
        <v>110</v>
      </c>
      <c r="AR58" s="7" t="s">
        <v>112</v>
      </c>
      <c r="AS58" s="7"/>
      <c r="AT58" s="85"/>
      <c r="AU58" s="91"/>
    </row>
    <row r="59" spans="1:324" s="100" customFormat="1" x14ac:dyDescent="0.25">
      <c r="A59" s="1">
        <v>56</v>
      </c>
      <c r="B59" s="79">
        <v>45912</v>
      </c>
      <c r="C59" s="80">
        <v>2.4999999999999998E-2</v>
      </c>
      <c r="D59" s="81"/>
      <c r="E59" s="81"/>
      <c r="F59" s="81"/>
      <c r="G59" s="81" t="s">
        <v>133</v>
      </c>
      <c r="H59" s="91" t="s">
        <v>134</v>
      </c>
      <c r="I59" s="79"/>
      <c r="J59" s="81" t="s">
        <v>127</v>
      </c>
      <c r="K59" s="81">
        <v>40</v>
      </c>
      <c r="L59" s="81">
        <v>1</v>
      </c>
      <c r="M59" s="81" t="s">
        <v>113</v>
      </c>
      <c r="N59" s="81">
        <v>3910</v>
      </c>
      <c r="O59" s="81">
        <v>52</v>
      </c>
      <c r="P59" s="81">
        <v>35</v>
      </c>
      <c r="Q59" s="81">
        <v>4</v>
      </c>
      <c r="R59" s="81" t="s">
        <v>110</v>
      </c>
      <c r="S59" s="81" t="s">
        <v>110</v>
      </c>
      <c r="T59" s="81" t="s">
        <v>110</v>
      </c>
      <c r="U59" s="81" t="s">
        <v>135</v>
      </c>
      <c r="V59" s="1"/>
      <c r="W59" s="81">
        <v>9</v>
      </c>
      <c r="X59" s="81">
        <v>10</v>
      </c>
      <c r="Y59" s="81" t="s">
        <v>111</v>
      </c>
      <c r="Z59" s="81" t="s">
        <v>111</v>
      </c>
      <c r="AA59" s="81" t="s">
        <v>111</v>
      </c>
      <c r="AB59" s="81" t="s">
        <v>110</v>
      </c>
      <c r="AC59" s="81" t="s">
        <v>111</v>
      </c>
      <c r="AD59" s="81" t="s">
        <v>110</v>
      </c>
      <c r="AE59" s="81" t="s">
        <v>111</v>
      </c>
      <c r="AF59" s="81" t="s">
        <v>111</v>
      </c>
      <c r="AG59" s="81" t="s">
        <v>142</v>
      </c>
      <c r="AH59" s="81" t="s">
        <v>111</v>
      </c>
      <c r="AI59" s="81" t="s">
        <v>125</v>
      </c>
      <c r="AJ59" s="81" t="s">
        <v>111</v>
      </c>
      <c r="AK59" s="81">
        <v>36</v>
      </c>
      <c r="AL59" s="81" t="s">
        <v>111</v>
      </c>
      <c r="AM59" s="81" t="s">
        <v>111</v>
      </c>
      <c r="AN59" s="81" t="s">
        <v>158</v>
      </c>
      <c r="AO59" s="81" t="s">
        <v>111</v>
      </c>
      <c r="AP59" s="81"/>
      <c r="AQ59" s="101" t="s">
        <v>110</v>
      </c>
      <c r="AR59" s="7" t="s">
        <v>131</v>
      </c>
      <c r="AS59" s="7"/>
      <c r="AT59" s="85" t="s">
        <v>110</v>
      </c>
      <c r="AU59" s="91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</row>
    <row r="60" spans="1:324" x14ac:dyDescent="0.25">
      <c r="A60" s="1">
        <v>57</v>
      </c>
      <c r="B60" s="79">
        <v>45912</v>
      </c>
      <c r="C60" s="80">
        <v>0.18680555555555556</v>
      </c>
      <c r="D60" s="81"/>
      <c r="E60" s="81"/>
      <c r="F60" s="81"/>
      <c r="G60" s="81" t="s">
        <v>114</v>
      </c>
      <c r="H60" s="81" t="s">
        <v>121</v>
      </c>
      <c r="I60" s="79"/>
      <c r="J60" s="81" t="s">
        <v>122</v>
      </c>
      <c r="K60" s="81">
        <v>36</v>
      </c>
      <c r="L60" s="81">
        <v>2</v>
      </c>
      <c r="M60" s="81" t="s">
        <v>113</v>
      </c>
      <c r="N60" s="81">
        <v>3030</v>
      </c>
      <c r="O60" s="81">
        <v>49</v>
      </c>
      <c r="P60" s="81">
        <v>34</v>
      </c>
      <c r="Q60" s="81">
        <v>4</v>
      </c>
      <c r="R60" s="81" t="s">
        <v>110</v>
      </c>
      <c r="S60" s="81" t="s">
        <v>110</v>
      </c>
      <c r="T60" s="81" t="s">
        <v>110</v>
      </c>
      <c r="U60" s="81" t="s">
        <v>135</v>
      </c>
      <c r="V60" s="1"/>
      <c r="W60" s="81">
        <v>8</v>
      </c>
      <c r="X60" s="81">
        <v>9</v>
      </c>
      <c r="Y60" s="81" t="s">
        <v>111</v>
      </c>
      <c r="Z60" s="81" t="s">
        <v>111</v>
      </c>
      <c r="AA60" s="81" t="s">
        <v>111</v>
      </c>
      <c r="AB60" s="81" t="s">
        <v>111</v>
      </c>
      <c r="AC60" s="81" t="s">
        <v>111</v>
      </c>
      <c r="AD60" s="81" t="s">
        <v>110</v>
      </c>
      <c r="AE60" s="81" t="s">
        <v>111</v>
      </c>
      <c r="AF60" s="81" t="s">
        <v>111</v>
      </c>
      <c r="AG60" s="81" t="s">
        <v>142</v>
      </c>
      <c r="AH60" s="81" t="s">
        <v>111</v>
      </c>
      <c r="AI60" s="81" t="s">
        <v>125</v>
      </c>
      <c r="AJ60" s="81" t="s">
        <v>111</v>
      </c>
      <c r="AK60" s="81">
        <v>35</v>
      </c>
      <c r="AL60" s="81" t="s">
        <v>111</v>
      </c>
      <c r="AM60" s="81" t="s">
        <v>111</v>
      </c>
      <c r="AN60" s="81" t="s">
        <v>224</v>
      </c>
      <c r="AO60" s="81" t="s">
        <v>111</v>
      </c>
      <c r="AP60" s="81"/>
      <c r="AQ60" s="101" t="s">
        <v>110</v>
      </c>
      <c r="AR60" s="1" t="s">
        <v>112</v>
      </c>
      <c r="AS60" s="1"/>
      <c r="AT60" s="83"/>
    </row>
    <row r="61" spans="1:324" x14ac:dyDescent="0.25">
      <c r="A61" s="1">
        <v>58</v>
      </c>
      <c r="B61" s="79">
        <v>45912</v>
      </c>
      <c r="C61" s="80">
        <v>0.4152777777777778</v>
      </c>
      <c r="D61" s="81"/>
      <c r="E61" s="81"/>
      <c r="F61" s="81"/>
      <c r="G61" s="81" t="s">
        <v>114</v>
      </c>
      <c r="H61" s="81" t="s">
        <v>171</v>
      </c>
      <c r="I61" s="79"/>
      <c r="J61" s="81" t="s">
        <v>129</v>
      </c>
      <c r="K61" s="81">
        <v>38</v>
      </c>
      <c r="L61" s="81">
        <v>1</v>
      </c>
      <c r="M61" s="81" t="s">
        <v>113</v>
      </c>
      <c r="N61" s="81">
        <v>3560</v>
      </c>
      <c r="O61" s="81">
        <v>49</v>
      </c>
      <c r="P61" s="81">
        <v>34</v>
      </c>
      <c r="Q61" s="81">
        <v>4</v>
      </c>
      <c r="R61" s="81" t="s">
        <v>110</v>
      </c>
      <c r="S61" s="81" t="s">
        <v>110</v>
      </c>
      <c r="T61" s="81" t="s">
        <v>110</v>
      </c>
      <c r="U61" s="81" t="s">
        <v>130</v>
      </c>
      <c r="V61" s="1"/>
      <c r="W61" s="81">
        <v>9</v>
      </c>
      <c r="X61" s="81">
        <v>10</v>
      </c>
      <c r="Y61" s="81" t="s">
        <v>111</v>
      </c>
      <c r="Z61" s="81" t="s">
        <v>111</v>
      </c>
      <c r="AA61" s="81" t="s">
        <v>111</v>
      </c>
      <c r="AB61" s="81" t="s">
        <v>110</v>
      </c>
      <c r="AC61" s="81" t="s">
        <v>110</v>
      </c>
      <c r="AD61" s="81" t="s">
        <v>110</v>
      </c>
      <c r="AE61" s="81" t="s">
        <v>111</v>
      </c>
      <c r="AF61" s="81" t="s">
        <v>111</v>
      </c>
      <c r="AG61" s="81" t="s">
        <v>142</v>
      </c>
      <c r="AH61" s="81" t="s">
        <v>111</v>
      </c>
      <c r="AI61" s="81" t="s">
        <v>125</v>
      </c>
      <c r="AJ61" s="81" t="s">
        <v>111</v>
      </c>
      <c r="AK61" s="81">
        <v>27</v>
      </c>
      <c r="AL61" s="81" t="s">
        <v>110</v>
      </c>
      <c r="AM61" s="81" t="s">
        <v>111</v>
      </c>
      <c r="AN61" s="81" t="s">
        <v>160</v>
      </c>
      <c r="AO61" s="81" t="s">
        <v>111</v>
      </c>
      <c r="AP61" s="81"/>
      <c r="AQ61" s="101" t="s">
        <v>110</v>
      </c>
      <c r="AR61" s="1" t="s">
        <v>131</v>
      </c>
      <c r="AS61" s="1"/>
      <c r="AT61" s="83" t="s">
        <v>110</v>
      </c>
    </row>
    <row r="62" spans="1:324" x14ac:dyDescent="0.25">
      <c r="A62" s="1">
        <v>59</v>
      </c>
      <c r="B62" s="79">
        <v>45912</v>
      </c>
      <c r="C62" s="80">
        <v>0.48125000000000001</v>
      </c>
      <c r="D62" s="81"/>
      <c r="E62" s="81"/>
      <c r="F62" s="81"/>
      <c r="G62" s="81" t="s">
        <v>114</v>
      </c>
      <c r="H62" s="81" t="s">
        <v>225</v>
      </c>
      <c r="I62" s="79"/>
      <c r="J62" s="81" t="s">
        <v>122</v>
      </c>
      <c r="K62" s="81">
        <v>38</v>
      </c>
      <c r="L62" s="81">
        <v>3</v>
      </c>
      <c r="M62" s="81" t="s">
        <v>123</v>
      </c>
      <c r="N62" s="81">
        <v>2960</v>
      </c>
      <c r="O62" s="81">
        <v>49</v>
      </c>
      <c r="P62" s="81">
        <v>34.5</v>
      </c>
      <c r="Q62" s="81">
        <v>4</v>
      </c>
      <c r="R62" s="81" t="s">
        <v>110</v>
      </c>
      <c r="S62" s="81" t="s">
        <v>110</v>
      </c>
      <c r="T62" s="81" t="s">
        <v>110</v>
      </c>
      <c r="U62" s="81" t="s">
        <v>124</v>
      </c>
      <c r="V62" s="1"/>
      <c r="W62" s="81">
        <v>9</v>
      </c>
      <c r="X62" s="81">
        <v>10</v>
      </c>
      <c r="Y62" s="81" t="s">
        <v>111</v>
      </c>
      <c r="Z62" s="81" t="s">
        <v>111</v>
      </c>
      <c r="AA62" s="81" t="s">
        <v>111</v>
      </c>
      <c r="AB62" s="81" t="s">
        <v>111</v>
      </c>
      <c r="AC62" s="81" t="s">
        <v>111</v>
      </c>
      <c r="AD62" s="81" t="s">
        <v>110</v>
      </c>
      <c r="AE62" s="81" t="s">
        <v>111</v>
      </c>
      <c r="AF62" s="81" t="s">
        <v>111</v>
      </c>
      <c r="AG62" s="81" t="s">
        <v>142</v>
      </c>
      <c r="AH62" s="81" t="s">
        <v>111</v>
      </c>
      <c r="AI62" s="81" t="s">
        <v>125</v>
      </c>
      <c r="AJ62" s="81" t="s">
        <v>111</v>
      </c>
      <c r="AK62" s="81">
        <v>33</v>
      </c>
      <c r="AL62" s="81" t="s">
        <v>111</v>
      </c>
      <c r="AM62" s="81" t="s">
        <v>111</v>
      </c>
      <c r="AN62" s="81" t="s">
        <v>181</v>
      </c>
      <c r="AO62" s="81" t="s">
        <v>111</v>
      </c>
      <c r="AP62" s="81"/>
      <c r="AQ62" s="101" t="s">
        <v>110</v>
      </c>
      <c r="AR62" s="1" t="s">
        <v>112</v>
      </c>
      <c r="AS62" s="1"/>
      <c r="AT62" s="83"/>
    </row>
    <row r="63" spans="1:324" x14ac:dyDescent="0.25">
      <c r="A63" s="1">
        <v>60</v>
      </c>
      <c r="B63" s="79">
        <v>45912</v>
      </c>
      <c r="C63" s="80">
        <v>0.57430555555555551</v>
      </c>
      <c r="D63" s="81"/>
      <c r="E63" s="81"/>
      <c r="F63" s="81"/>
      <c r="G63" s="81" t="s">
        <v>114</v>
      </c>
      <c r="H63" s="81" t="s">
        <v>177</v>
      </c>
      <c r="I63" s="79"/>
      <c r="J63" s="81" t="s">
        <v>122</v>
      </c>
      <c r="K63" s="81">
        <v>37</v>
      </c>
      <c r="L63" s="81">
        <v>4</v>
      </c>
      <c r="M63" s="81" t="s">
        <v>123</v>
      </c>
      <c r="N63" s="81">
        <v>3270</v>
      </c>
      <c r="O63" s="81">
        <v>47.5</v>
      </c>
      <c r="P63" s="81">
        <v>34</v>
      </c>
      <c r="Q63" s="81">
        <v>2</v>
      </c>
      <c r="R63" s="81" t="s">
        <v>111</v>
      </c>
      <c r="S63" s="81" t="s">
        <v>110</v>
      </c>
      <c r="T63" s="81" t="s">
        <v>110</v>
      </c>
      <c r="U63" s="81" t="s">
        <v>124</v>
      </c>
      <c r="V63" s="1"/>
      <c r="W63" s="81">
        <v>9</v>
      </c>
      <c r="X63" s="81">
        <v>9</v>
      </c>
      <c r="Y63" s="81" t="s">
        <v>111</v>
      </c>
      <c r="Z63" s="81" t="s">
        <v>111</v>
      </c>
      <c r="AA63" s="81" t="s">
        <v>111</v>
      </c>
      <c r="AB63" s="81" t="s">
        <v>111</v>
      </c>
      <c r="AC63" s="81" t="s">
        <v>111</v>
      </c>
      <c r="AD63" s="81" t="s">
        <v>110</v>
      </c>
      <c r="AE63" s="81" t="s">
        <v>111</v>
      </c>
      <c r="AF63" s="81" t="s">
        <v>111</v>
      </c>
      <c r="AG63" s="81" t="s">
        <v>142</v>
      </c>
      <c r="AH63" s="81" t="s">
        <v>111</v>
      </c>
      <c r="AI63" s="81" t="s">
        <v>125</v>
      </c>
      <c r="AJ63" s="81" t="s">
        <v>111</v>
      </c>
      <c r="AK63" s="81">
        <v>25</v>
      </c>
      <c r="AL63" s="81" t="s">
        <v>111</v>
      </c>
      <c r="AM63" s="81" t="s">
        <v>111</v>
      </c>
      <c r="AN63" s="81" t="s">
        <v>226</v>
      </c>
      <c r="AO63" s="81" t="s">
        <v>111</v>
      </c>
      <c r="AP63" s="81"/>
      <c r="AQ63" s="101" t="s">
        <v>227</v>
      </c>
      <c r="AR63" s="7" t="s">
        <v>112</v>
      </c>
      <c r="AS63" s="7"/>
      <c r="AT63" s="85"/>
      <c r="AU63" s="91"/>
    </row>
    <row r="64" spans="1:324" x14ac:dyDescent="0.25">
      <c r="A64" s="1">
        <v>61</v>
      </c>
      <c r="B64" s="79">
        <v>45912</v>
      </c>
      <c r="C64" s="80">
        <v>0.66111111111111109</v>
      </c>
      <c r="D64" s="81"/>
      <c r="E64" s="81"/>
      <c r="F64" s="81"/>
      <c r="G64" s="81" t="s">
        <v>156</v>
      </c>
      <c r="H64" s="81" t="s">
        <v>156</v>
      </c>
      <c r="I64" s="79"/>
      <c r="J64" s="81" t="s">
        <v>122</v>
      </c>
      <c r="K64" s="81">
        <v>39</v>
      </c>
      <c r="L64" s="81">
        <v>6</v>
      </c>
      <c r="M64" s="81" t="s">
        <v>113</v>
      </c>
      <c r="N64" s="81">
        <v>3660</v>
      </c>
      <c r="O64" s="81">
        <v>50</v>
      </c>
      <c r="P64" s="81">
        <v>35</v>
      </c>
      <c r="Q64" s="81">
        <v>4</v>
      </c>
      <c r="R64" s="81" t="s">
        <v>110</v>
      </c>
      <c r="S64" s="81" t="s">
        <v>110</v>
      </c>
      <c r="T64" s="81" t="s">
        <v>110</v>
      </c>
      <c r="U64" s="81" t="s">
        <v>124</v>
      </c>
      <c r="V64" s="1"/>
      <c r="W64" s="81">
        <v>8</v>
      </c>
      <c r="X64" s="81">
        <v>9</v>
      </c>
      <c r="Y64" s="81" t="s">
        <v>111</v>
      </c>
      <c r="Z64" s="81" t="s">
        <v>111</v>
      </c>
      <c r="AA64" s="81" t="s">
        <v>111</v>
      </c>
      <c r="AB64" s="81" t="s">
        <v>111</v>
      </c>
      <c r="AC64" s="81" t="s">
        <v>111</v>
      </c>
      <c r="AD64" s="81" t="s">
        <v>110</v>
      </c>
      <c r="AE64" s="81" t="s">
        <v>111</v>
      </c>
      <c r="AF64" s="81" t="s">
        <v>111</v>
      </c>
      <c r="AG64" s="81" t="s">
        <v>142</v>
      </c>
      <c r="AH64" s="81" t="s">
        <v>111</v>
      </c>
      <c r="AI64" s="81" t="s">
        <v>125</v>
      </c>
      <c r="AJ64" s="81" t="s">
        <v>111</v>
      </c>
      <c r="AK64" s="81">
        <v>26</v>
      </c>
      <c r="AL64" s="81" t="s">
        <v>110</v>
      </c>
      <c r="AM64" s="81" t="s">
        <v>111</v>
      </c>
      <c r="AN64" s="81" t="s">
        <v>138</v>
      </c>
      <c r="AO64" s="81" t="s">
        <v>111</v>
      </c>
      <c r="AP64" s="81"/>
      <c r="AQ64" s="101" t="s">
        <v>110</v>
      </c>
      <c r="AR64" s="1" t="s">
        <v>112</v>
      </c>
      <c r="AS64" s="1"/>
      <c r="AT64" s="83"/>
    </row>
    <row r="65" spans="1:324" s="97" customFormat="1" x14ac:dyDescent="0.25">
      <c r="A65" s="1">
        <v>62</v>
      </c>
      <c r="B65" s="79">
        <v>45913</v>
      </c>
      <c r="C65" s="80">
        <v>0.10694444444444444</v>
      </c>
      <c r="D65" s="81"/>
      <c r="E65" s="81"/>
      <c r="F65" s="81"/>
      <c r="G65" s="81" t="s">
        <v>195</v>
      </c>
      <c r="H65" s="81" t="s">
        <v>195</v>
      </c>
      <c r="I65" s="79"/>
      <c r="J65" s="81" t="s">
        <v>127</v>
      </c>
      <c r="K65" s="81">
        <v>38</v>
      </c>
      <c r="L65" s="81">
        <v>2</v>
      </c>
      <c r="M65" s="81" t="s">
        <v>123</v>
      </c>
      <c r="N65" s="81">
        <v>4020</v>
      </c>
      <c r="O65" s="81">
        <v>50</v>
      </c>
      <c r="P65" s="81">
        <v>37</v>
      </c>
      <c r="Q65" s="81">
        <v>4</v>
      </c>
      <c r="R65" s="81" t="s">
        <v>110</v>
      </c>
      <c r="S65" s="81" t="s">
        <v>110</v>
      </c>
      <c r="T65" s="81" t="s">
        <v>110</v>
      </c>
      <c r="U65" s="81" t="s">
        <v>157</v>
      </c>
      <c r="V65" s="1"/>
      <c r="W65" s="81">
        <v>9</v>
      </c>
      <c r="X65" s="81">
        <v>10</v>
      </c>
      <c r="Y65" s="81" t="s">
        <v>111</v>
      </c>
      <c r="Z65" s="81" t="s">
        <v>111</v>
      </c>
      <c r="AA65" s="81" t="s">
        <v>111</v>
      </c>
      <c r="AB65" s="81" t="s">
        <v>110</v>
      </c>
      <c r="AC65" s="81" t="s">
        <v>111</v>
      </c>
      <c r="AD65" s="81" t="s">
        <v>110</v>
      </c>
      <c r="AE65" s="81" t="s">
        <v>111</v>
      </c>
      <c r="AF65" s="81" t="s">
        <v>111</v>
      </c>
      <c r="AG65" s="81" t="s">
        <v>142</v>
      </c>
      <c r="AH65" s="81" t="s">
        <v>111</v>
      </c>
      <c r="AI65" s="81" t="s">
        <v>125</v>
      </c>
      <c r="AJ65" s="81" t="s">
        <v>111</v>
      </c>
      <c r="AK65" s="81">
        <v>32</v>
      </c>
      <c r="AL65" s="81" t="s">
        <v>111</v>
      </c>
      <c r="AM65" s="81" t="s">
        <v>111</v>
      </c>
      <c r="AN65" s="81" t="s">
        <v>228</v>
      </c>
      <c r="AO65" s="81" t="s">
        <v>111</v>
      </c>
      <c r="AP65" s="81"/>
      <c r="AQ65" s="101" t="s">
        <v>110</v>
      </c>
      <c r="AR65" s="7" t="s">
        <v>131</v>
      </c>
      <c r="AS65" s="7"/>
      <c r="AT65" s="85" t="s">
        <v>110</v>
      </c>
      <c r="AU65" s="91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</row>
    <row r="66" spans="1:324" s="97" customFormat="1" x14ac:dyDescent="0.25">
      <c r="A66" s="1">
        <v>63</v>
      </c>
      <c r="B66" s="79">
        <v>45913</v>
      </c>
      <c r="C66" s="80">
        <v>0.36388888888888887</v>
      </c>
      <c r="D66" s="81"/>
      <c r="E66" s="81"/>
      <c r="F66" s="81"/>
      <c r="G66" s="81" t="s">
        <v>126</v>
      </c>
      <c r="H66" s="81" t="s">
        <v>126</v>
      </c>
      <c r="I66" s="79"/>
      <c r="J66" s="81" t="s">
        <v>122</v>
      </c>
      <c r="K66" s="81">
        <v>38</v>
      </c>
      <c r="L66" s="81">
        <v>1</v>
      </c>
      <c r="M66" s="81" t="s">
        <v>123</v>
      </c>
      <c r="N66" s="81">
        <v>2385</v>
      </c>
      <c r="O66" s="81">
        <v>47</v>
      </c>
      <c r="P66" s="81">
        <v>32</v>
      </c>
      <c r="Q66" s="81">
        <v>4</v>
      </c>
      <c r="R66" s="81" t="s">
        <v>110</v>
      </c>
      <c r="S66" s="81" t="s">
        <v>110</v>
      </c>
      <c r="T66" s="81" t="s">
        <v>110</v>
      </c>
      <c r="U66" s="81" t="s">
        <v>132</v>
      </c>
      <c r="V66" s="1"/>
      <c r="W66" s="81">
        <v>9</v>
      </c>
      <c r="X66" s="81">
        <v>10</v>
      </c>
      <c r="Y66" s="81" t="s">
        <v>111</v>
      </c>
      <c r="Z66" s="81" t="s">
        <v>111</v>
      </c>
      <c r="AA66" s="81" t="s">
        <v>111</v>
      </c>
      <c r="AB66" s="81" t="s">
        <v>111</v>
      </c>
      <c r="AC66" s="81" t="s">
        <v>111</v>
      </c>
      <c r="AD66" s="81" t="s">
        <v>110</v>
      </c>
      <c r="AE66" s="81" t="s">
        <v>111</v>
      </c>
      <c r="AF66" s="81" t="s">
        <v>111</v>
      </c>
      <c r="AG66" s="81" t="s">
        <v>142</v>
      </c>
      <c r="AH66" s="81" t="s">
        <v>111</v>
      </c>
      <c r="AI66" s="81" t="s">
        <v>125</v>
      </c>
      <c r="AJ66" s="81" t="s">
        <v>111</v>
      </c>
      <c r="AK66" s="81">
        <v>28</v>
      </c>
      <c r="AL66" s="81" t="s">
        <v>111</v>
      </c>
      <c r="AM66" s="81" t="s">
        <v>111</v>
      </c>
      <c r="AN66" s="81" t="s">
        <v>160</v>
      </c>
      <c r="AO66" s="81" t="s">
        <v>111</v>
      </c>
      <c r="AP66" s="81"/>
      <c r="AQ66" s="101" t="s">
        <v>110</v>
      </c>
      <c r="AR66" s="1" t="s">
        <v>112</v>
      </c>
      <c r="AS66" s="1"/>
      <c r="AT66" s="83"/>
      <c r="AU66" s="81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</row>
    <row r="67" spans="1:324" ht="18" customHeight="1" x14ac:dyDescent="0.25">
      <c r="A67" s="1">
        <v>64</v>
      </c>
      <c r="B67" s="79">
        <v>45913</v>
      </c>
      <c r="C67" s="80">
        <v>0.41319444444444442</v>
      </c>
      <c r="D67" s="81"/>
      <c r="E67" s="81"/>
      <c r="F67" s="81"/>
      <c r="G67" s="81" t="s">
        <v>114</v>
      </c>
      <c r="H67" s="81" t="s">
        <v>164</v>
      </c>
      <c r="I67" s="79"/>
      <c r="J67" s="81" t="s">
        <v>122</v>
      </c>
      <c r="K67" s="81">
        <v>39</v>
      </c>
      <c r="L67" s="81">
        <v>3</v>
      </c>
      <c r="M67" s="81" t="s">
        <v>123</v>
      </c>
      <c r="N67" s="81">
        <v>3710</v>
      </c>
      <c r="O67" s="81">
        <v>50</v>
      </c>
      <c r="P67" s="81">
        <v>36</v>
      </c>
      <c r="Q67" s="81">
        <v>4</v>
      </c>
      <c r="R67" s="81" t="s">
        <v>110</v>
      </c>
      <c r="S67" s="81" t="s">
        <v>110</v>
      </c>
      <c r="T67" s="81" t="s">
        <v>110</v>
      </c>
      <c r="U67" s="81" t="s">
        <v>132</v>
      </c>
      <c r="V67" s="1"/>
      <c r="W67" s="81">
        <v>9</v>
      </c>
      <c r="X67" s="81">
        <v>10</v>
      </c>
      <c r="Y67" s="81" t="s">
        <v>111</v>
      </c>
      <c r="Z67" s="81" t="s">
        <v>111</v>
      </c>
      <c r="AA67" s="81" t="s">
        <v>111</v>
      </c>
      <c r="AB67" s="81" t="s">
        <v>111</v>
      </c>
      <c r="AC67" s="81" t="s">
        <v>111</v>
      </c>
      <c r="AD67" s="81" t="s">
        <v>110</v>
      </c>
      <c r="AE67" s="81" t="s">
        <v>111</v>
      </c>
      <c r="AF67" s="81" t="s">
        <v>111</v>
      </c>
      <c r="AG67" s="81" t="s">
        <v>142</v>
      </c>
      <c r="AH67" s="81" t="s">
        <v>111</v>
      </c>
      <c r="AI67" s="81" t="s">
        <v>125</v>
      </c>
      <c r="AJ67" s="81" t="s">
        <v>111</v>
      </c>
      <c r="AK67" s="81">
        <v>21</v>
      </c>
      <c r="AL67" s="81" t="s">
        <v>111</v>
      </c>
      <c r="AM67" s="81" t="s">
        <v>111</v>
      </c>
      <c r="AN67" s="81" t="s">
        <v>138</v>
      </c>
      <c r="AO67" s="81" t="s">
        <v>111</v>
      </c>
      <c r="AP67" s="81"/>
      <c r="AQ67" s="101" t="s">
        <v>110</v>
      </c>
      <c r="AR67" s="7" t="s">
        <v>112</v>
      </c>
      <c r="AS67" s="7"/>
      <c r="AT67" s="85"/>
      <c r="AU67" s="91"/>
    </row>
    <row r="68" spans="1:324" s="45" customFormat="1" x14ac:dyDescent="0.25">
      <c r="A68" s="1">
        <v>65</v>
      </c>
      <c r="B68" s="79">
        <v>45913</v>
      </c>
      <c r="C68" s="80">
        <v>0.66249999999999998</v>
      </c>
      <c r="D68" s="81"/>
      <c r="E68" s="81"/>
      <c r="F68" s="81"/>
      <c r="G68" s="81" t="s">
        <v>179</v>
      </c>
      <c r="H68" s="81" t="s">
        <v>179</v>
      </c>
      <c r="I68" s="79"/>
      <c r="J68" s="81" t="s">
        <v>122</v>
      </c>
      <c r="K68" s="81">
        <v>33</v>
      </c>
      <c r="L68" s="81">
        <v>4</v>
      </c>
      <c r="M68" s="81" t="s">
        <v>113</v>
      </c>
      <c r="N68" s="81">
        <v>2370</v>
      </c>
      <c r="O68" s="81">
        <v>47</v>
      </c>
      <c r="P68" s="81">
        <v>32.5</v>
      </c>
      <c r="Q68" s="81">
        <v>4</v>
      </c>
      <c r="R68" s="81" t="s">
        <v>110</v>
      </c>
      <c r="S68" s="81" t="s">
        <v>110</v>
      </c>
      <c r="T68" s="81" t="s">
        <v>110</v>
      </c>
      <c r="U68" s="81" t="s">
        <v>132</v>
      </c>
      <c r="V68" s="1"/>
      <c r="W68" s="81">
        <v>9</v>
      </c>
      <c r="X68" s="81">
        <v>10</v>
      </c>
      <c r="Y68" s="81" t="s">
        <v>111</v>
      </c>
      <c r="Z68" s="81" t="s">
        <v>111</v>
      </c>
      <c r="AA68" s="81" t="s">
        <v>111</v>
      </c>
      <c r="AB68" s="81" t="s">
        <v>111</v>
      </c>
      <c r="AC68" s="81" t="s">
        <v>111</v>
      </c>
      <c r="AD68" s="81" t="s">
        <v>110</v>
      </c>
      <c r="AE68" s="81" t="s">
        <v>111</v>
      </c>
      <c r="AF68" s="81" t="s">
        <v>111</v>
      </c>
      <c r="AG68" s="81" t="s">
        <v>142</v>
      </c>
      <c r="AH68" s="81" t="s">
        <v>111</v>
      </c>
      <c r="AI68" s="81" t="s">
        <v>125</v>
      </c>
      <c r="AJ68" s="81" t="s">
        <v>111</v>
      </c>
      <c r="AK68" s="81">
        <v>30</v>
      </c>
      <c r="AL68" s="81" t="s">
        <v>111</v>
      </c>
      <c r="AM68" s="81" t="s">
        <v>111</v>
      </c>
      <c r="AN68" s="81" t="s">
        <v>229</v>
      </c>
      <c r="AO68" s="81" t="s">
        <v>111</v>
      </c>
      <c r="AP68" s="81"/>
      <c r="AQ68" s="101" t="s">
        <v>111</v>
      </c>
      <c r="AR68" s="1" t="s">
        <v>201</v>
      </c>
      <c r="AS68" s="1"/>
      <c r="AT68" s="83"/>
      <c r="AU68" s="81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</row>
    <row r="69" spans="1:324" x14ac:dyDescent="0.25">
      <c r="A69" s="1">
        <v>66</v>
      </c>
      <c r="B69" s="79">
        <v>45913</v>
      </c>
      <c r="C69" s="80">
        <v>0.81388888888888899</v>
      </c>
      <c r="D69" s="81"/>
      <c r="E69" s="81"/>
      <c r="F69" s="81"/>
      <c r="G69" s="81" t="s">
        <v>114</v>
      </c>
      <c r="H69" s="81" t="s">
        <v>121</v>
      </c>
      <c r="I69" s="79"/>
      <c r="J69" s="81" t="s">
        <v>127</v>
      </c>
      <c r="K69" s="81">
        <v>37</v>
      </c>
      <c r="L69" s="81">
        <v>0</v>
      </c>
      <c r="M69" s="81" t="s">
        <v>113</v>
      </c>
      <c r="N69" s="81">
        <v>2860</v>
      </c>
      <c r="O69" s="81">
        <v>49</v>
      </c>
      <c r="P69" s="81">
        <v>34</v>
      </c>
      <c r="Q69" s="81">
        <v>4</v>
      </c>
      <c r="R69" s="81" t="s">
        <v>110</v>
      </c>
      <c r="S69" s="81" t="s">
        <v>110</v>
      </c>
      <c r="T69" s="81" t="s">
        <v>110</v>
      </c>
      <c r="U69" s="81" t="s">
        <v>132</v>
      </c>
      <c r="V69" s="1"/>
      <c r="W69" s="81">
        <v>9</v>
      </c>
      <c r="X69" s="81">
        <v>10</v>
      </c>
      <c r="Y69" s="81" t="s">
        <v>111</v>
      </c>
      <c r="Z69" s="81" t="s">
        <v>111</v>
      </c>
      <c r="AA69" s="81" t="s">
        <v>111</v>
      </c>
      <c r="AB69" s="81" t="s">
        <v>111</v>
      </c>
      <c r="AC69" s="81" t="s">
        <v>111</v>
      </c>
      <c r="AD69" s="81" t="s">
        <v>110</v>
      </c>
      <c r="AE69" s="81" t="s">
        <v>111</v>
      </c>
      <c r="AF69" s="81" t="s">
        <v>111</v>
      </c>
      <c r="AG69" s="81" t="s">
        <v>142</v>
      </c>
      <c r="AH69" s="81" t="s">
        <v>111</v>
      </c>
      <c r="AI69" s="81" t="s">
        <v>125</v>
      </c>
      <c r="AJ69" s="81" t="s">
        <v>111</v>
      </c>
      <c r="AK69" s="81">
        <v>25</v>
      </c>
      <c r="AL69" s="81" t="s">
        <v>111</v>
      </c>
      <c r="AM69" s="81" t="s">
        <v>111</v>
      </c>
      <c r="AN69" s="81" t="s">
        <v>215</v>
      </c>
      <c r="AO69" s="81" t="s">
        <v>111</v>
      </c>
      <c r="AP69" s="81"/>
      <c r="AQ69" s="103" t="s">
        <v>110</v>
      </c>
      <c r="AR69" s="7" t="s">
        <v>112</v>
      </c>
      <c r="AS69" s="7"/>
      <c r="AT69" s="85"/>
      <c r="AU69" s="91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  <c r="CD69" s="100"/>
      <c r="CE69" s="100"/>
      <c r="CF69" s="100"/>
      <c r="CG69" s="100"/>
      <c r="CH69" s="100"/>
      <c r="CI69" s="100"/>
      <c r="CJ69" s="100"/>
      <c r="CK69" s="100"/>
      <c r="CL69" s="100"/>
      <c r="CM69" s="100"/>
      <c r="CN69" s="100"/>
      <c r="CO69" s="100"/>
      <c r="CP69" s="100"/>
      <c r="CQ69" s="100"/>
      <c r="CR69" s="100"/>
      <c r="CS69" s="100"/>
      <c r="CT69" s="100"/>
      <c r="CU69" s="100"/>
      <c r="CV69" s="100"/>
      <c r="CW69" s="100"/>
      <c r="CX69" s="100"/>
      <c r="CY69" s="100"/>
      <c r="CZ69" s="100"/>
      <c r="DA69" s="100"/>
      <c r="DB69" s="100"/>
      <c r="DC69" s="100"/>
      <c r="DD69" s="100"/>
      <c r="DE69" s="100"/>
      <c r="DF69" s="100"/>
      <c r="DG69" s="100"/>
      <c r="DH69" s="100"/>
      <c r="DI69" s="100"/>
      <c r="DJ69" s="100"/>
      <c r="DK69" s="100"/>
      <c r="DL69" s="100"/>
      <c r="DM69" s="100"/>
      <c r="DN69" s="100"/>
      <c r="DO69" s="100"/>
      <c r="DP69" s="100"/>
      <c r="DQ69" s="100"/>
      <c r="DR69" s="100"/>
      <c r="DS69" s="100"/>
      <c r="DT69" s="100"/>
      <c r="DU69" s="100"/>
      <c r="DV69" s="100"/>
      <c r="DW69" s="100"/>
      <c r="DX69" s="100"/>
      <c r="DY69" s="100"/>
      <c r="DZ69" s="100"/>
      <c r="EA69" s="100"/>
      <c r="EB69" s="100"/>
      <c r="EC69" s="100"/>
      <c r="ED69" s="100"/>
      <c r="EE69" s="100"/>
      <c r="EF69" s="100"/>
      <c r="EG69" s="100"/>
      <c r="EH69" s="100"/>
      <c r="EI69" s="100"/>
      <c r="EJ69" s="100"/>
      <c r="EK69" s="100"/>
      <c r="EL69" s="100"/>
      <c r="EM69" s="100"/>
      <c r="EN69" s="100"/>
      <c r="EO69" s="100"/>
      <c r="EP69" s="100"/>
      <c r="EQ69" s="100"/>
      <c r="ER69" s="100"/>
      <c r="ES69" s="100"/>
      <c r="ET69" s="100"/>
      <c r="EU69" s="100"/>
      <c r="EV69" s="100"/>
      <c r="EW69" s="100"/>
      <c r="EX69" s="100"/>
      <c r="EY69" s="100"/>
      <c r="EZ69" s="100"/>
      <c r="FA69" s="100"/>
      <c r="FB69" s="100"/>
      <c r="FC69" s="100"/>
      <c r="FD69" s="100"/>
      <c r="FE69" s="100"/>
      <c r="FF69" s="100"/>
      <c r="FG69" s="100"/>
      <c r="FH69" s="100"/>
      <c r="FI69" s="100"/>
      <c r="FJ69" s="100"/>
      <c r="FK69" s="100"/>
      <c r="FL69" s="100"/>
      <c r="FM69" s="100"/>
      <c r="FN69" s="100"/>
      <c r="FO69" s="100"/>
      <c r="FP69" s="100"/>
      <c r="FQ69" s="100"/>
      <c r="FR69" s="100"/>
      <c r="FS69" s="100"/>
      <c r="FT69" s="100"/>
      <c r="FU69" s="100"/>
      <c r="FV69" s="100"/>
      <c r="FW69" s="100"/>
      <c r="FX69" s="100"/>
      <c r="FY69" s="100"/>
      <c r="FZ69" s="100"/>
      <c r="GA69" s="100"/>
      <c r="GB69" s="100"/>
      <c r="GC69" s="100"/>
      <c r="GD69" s="100"/>
      <c r="GE69" s="100"/>
      <c r="GF69" s="100"/>
      <c r="GG69" s="100"/>
      <c r="GH69" s="100"/>
      <c r="GI69" s="100"/>
      <c r="GJ69" s="100"/>
      <c r="GK69" s="100"/>
      <c r="GL69" s="100"/>
      <c r="GM69" s="100"/>
      <c r="GN69" s="100"/>
      <c r="GO69" s="100"/>
      <c r="GP69" s="100"/>
      <c r="GQ69" s="100"/>
      <c r="GR69" s="100"/>
      <c r="GS69" s="100"/>
      <c r="GT69" s="100"/>
      <c r="GU69" s="100"/>
      <c r="GV69" s="100"/>
      <c r="GW69" s="100"/>
      <c r="GX69" s="100"/>
      <c r="GY69" s="100"/>
      <c r="GZ69" s="100"/>
      <c r="HA69" s="100"/>
      <c r="HB69" s="100"/>
      <c r="HC69" s="100"/>
      <c r="HD69" s="100"/>
      <c r="HE69" s="100"/>
      <c r="HF69" s="100"/>
      <c r="HG69" s="100"/>
      <c r="HH69" s="100"/>
      <c r="HI69" s="100"/>
      <c r="HJ69" s="100"/>
      <c r="HK69" s="100"/>
      <c r="HL69" s="100"/>
      <c r="HM69" s="100"/>
      <c r="HN69" s="100"/>
      <c r="HO69" s="100"/>
      <c r="HP69" s="100"/>
      <c r="HQ69" s="100"/>
      <c r="HR69" s="100"/>
      <c r="HS69" s="100"/>
      <c r="HT69" s="100"/>
      <c r="HU69" s="100"/>
      <c r="HV69" s="100"/>
      <c r="HW69" s="100"/>
      <c r="HX69" s="100"/>
      <c r="HY69" s="100"/>
      <c r="HZ69" s="100"/>
      <c r="IA69" s="100"/>
      <c r="IB69" s="100"/>
      <c r="IC69" s="100"/>
      <c r="ID69" s="100"/>
      <c r="IE69" s="100"/>
      <c r="IF69" s="100"/>
      <c r="IG69" s="100"/>
      <c r="IH69" s="100"/>
      <c r="II69" s="100"/>
      <c r="IJ69" s="100"/>
      <c r="IK69" s="100"/>
      <c r="IL69" s="100"/>
      <c r="IM69" s="100"/>
      <c r="IN69" s="100"/>
      <c r="IO69" s="100"/>
      <c r="IP69" s="100"/>
      <c r="IQ69" s="100"/>
      <c r="IR69" s="100"/>
      <c r="IS69" s="100"/>
      <c r="IT69" s="100"/>
      <c r="IU69" s="100"/>
      <c r="IV69" s="100"/>
      <c r="IW69" s="100"/>
      <c r="IX69" s="100"/>
      <c r="IY69" s="100"/>
      <c r="IZ69" s="100"/>
      <c r="JA69" s="100"/>
      <c r="JB69" s="100"/>
      <c r="JC69" s="100"/>
      <c r="JD69" s="100"/>
      <c r="JE69" s="100"/>
      <c r="JF69" s="100"/>
      <c r="JG69" s="100"/>
      <c r="JH69" s="100"/>
      <c r="JI69" s="100"/>
      <c r="JJ69" s="100"/>
      <c r="JK69" s="100"/>
      <c r="JL69" s="100"/>
      <c r="JM69" s="100"/>
      <c r="JN69" s="100"/>
      <c r="JO69" s="100"/>
      <c r="JP69" s="100"/>
      <c r="JQ69" s="100"/>
      <c r="JR69" s="100"/>
      <c r="JS69" s="100"/>
      <c r="JT69" s="100"/>
      <c r="JU69" s="100"/>
      <c r="JV69" s="100"/>
      <c r="JW69" s="100"/>
      <c r="JX69" s="100"/>
      <c r="JY69" s="100"/>
      <c r="JZ69" s="100"/>
      <c r="KA69" s="100"/>
      <c r="KB69" s="100"/>
      <c r="KC69" s="100"/>
      <c r="KD69" s="100"/>
      <c r="KE69" s="100"/>
      <c r="KF69" s="100"/>
      <c r="KG69" s="100"/>
      <c r="KH69" s="100"/>
      <c r="KI69" s="100"/>
      <c r="KJ69" s="100"/>
      <c r="KK69" s="100"/>
      <c r="KL69" s="100"/>
      <c r="KM69" s="100"/>
      <c r="KN69" s="100"/>
      <c r="KO69" s="100"/>
      <c r="KP69" s="100"/>
      <c r="KQ69" s="100"/>
      <c r="KR69" s="100"/>
      <c r="KS69" s="100"/>
      <c r="KT69" s="100"/>
      <c r="KU69" s="100"/>
      <c r="KV69" s="100"/>
      <c r="KW69" s="100"/>
      <c r="KX69" s="100"/>
      <c r="KY69" s="100"/>
      <c r="KZ69" s="100"/>
      <c r="LA69" s="100"/>
      <c r="LB69" s="100"/>
      <c r="LC69" s="100"/>
      <c r="LD69" s="100"/>
      <c r="LE69" s="100"/>
      <c r="LF69" s="100"/>
      <c r="LG69" s="100"/>
      <c r="LH69" s="100"/>
      <c r="LI69" s="100"/>
      <c r="LJ69" s="100"/>
      <c r="LK69" s="100"/>
      <c r="LL69" s="100"/>
    </row>
    <row r="70" spans="1:324" x14ac:dyDescent="0.25">
      <c r="A70" s="1">
        <v>67</v>
      </c>
      <c r="B70" s="79">
        <v>45914</v>
      </c>
      <c r="C70" s="80">
        <v>0.24444444444444446</v>
      </c>
      <c r="D70" s="81"/>
      <c r="E70" s="81"/>
      <c r="F70" s="81"/>
      <c r="G70" s="81" t="s">
        <v>179</v>
      </c>
      <c r="H70" s="81" t="s">
        <v>179</v>
      </c>
      <c r="I70" s="79"/>
      <c r="J70" s="81" t="s">
        <v>127</v>
      </c>
      <c r="K70" s="81">
        <v>35</v>
      </c>
      <c r="L70" s="81">
        <v>2</v>
      </c>
      <c r="M70" s="81" t="s">
        <v>113</v>
      </c>
      <c r="N70" s="81">
        <v>2560</v>
      </c>
      <c r="O70" s="81">
        <v>47</v>
      </c>
      <c r="P70" s="81">
        <v>32</v>
      </c>
      <c r="Q70" s="81">
        <v>2</v>
      </c>
      <c r="R70" s="81" t="s">
        <v>110</v>
      </c>
      <c r="S70" s="81" t="s">
        <v>110</v>
      </c>
      <c r="T70" s="81" t="s">
        <v>110</v>
      </c>
      <c r="U70" s="81" t="s">
        <v>124</v>
      </c>
      <c r="V70" s="1"/>
      <c r="W70" s="81">
        <v>8</v>
      </c>
      <c r="X70" s="81">
        <v>8</v>
      </c>
      <c r="Y70" s="81" t="s">
        <v>110</v>
      </c>
      <c r="Z70" s="81" t="s">
        <v>111</v>
      </c>
      <c r="AA70" s="81" t="s">
        <v>111</v>
      </c>
      <c r="AB70" s="81" t="s">
        <v>111</v>
      </c>
      <c r="AC70" s="81" t="s">
        <v>111</v>
      </c>
      <c r="AD70" s="81" t="s">
        <v>110</v>
      </c>
      <c r="AE70" s="81" t="s">
        <v>111</v>
      </c>
      <c r="AF70" s="81" t="s">
        <v>111</v>
      </c>
      <c r="AG70" s="81" t="s">
        <v>142</v>
      </c>
      <c r="AH70" s="81" t="s">
        <v>111</v>
      </c>
      <c r="AI70" s="81" t="s">
        <v>125</v>
      </c>
      <c r="AJ70" s="81" t="s">
        <v>111</v>
      </c>
      <c r="AK70" s="81">
        <v>41</v>
      </c>
      <c r="AL70" s="81" t="s">
        <v>111</v>
      </c>
      <c r="AM70" s="81" t="s">
        <v>111</v>
      </c>
      <c r="AN70" s="81" t="s">
        <v>230</v>
      </c>
      <c r="AO70" s="81" t="s">
        <v>111</v>
      </c>
      <c r="AP70" s="81"/>
      <c r="AQ70" s="103" t="s">
        <v>110</v>
      </c>
      <c r="AR70" s="1" t="s">
        <v>131</v>
      </c>
      <c r="AS70" s="1"/>
      <c r="AT70" s="83"/>
    </row>
    <row r="71" spans="1:324" x14ac:dyDescent="0.25">
      <c r="A71" s="1">
        <v>68</v>
      </c>
      <c r="B71" s="79">
        <v>45914</v>
      </c>
      <c r="C71" s="80">
        <v>0.3743055555555555</v>
      </c>
      <c r="D71" s="81"/>
      <c r="E71" s="81"/>
      <c r="F71" s="81"/>
      <c r="G71" s="81" t="s">
        <v>114</v>
      </c>
      <c r="H71" s="81" t="s">
        <v>121</v>
      </c>
      <c r="I71" s="79"/>
      <c r="J71" s="81" t="s">
        <v>122</v>
      </c>
      <c r="K71" s="81">
        <v>39</v>
      </c>
      <c r="L71" s="81">
        <v>5</v>
      </c>
      <c r="M71" s="81" t="s">
        <v>113</v>
      </c>
      <c r="N71" s="81">
        <v>3990</v>
      </c>
      <c r="O71" s="81">
        <v>52</v>
      </c>
      <c r="P71" s="81">
        <v>35</v>
      </c>
      <c r="Q71" s="81">
        <v>4</v>
      </c>
      <c r="R71" s="81" t="s">
        <v>110</v>
      </c>
      <c r="S71" s="81" t="s">
        <v>110</v>
      </c>
      <c r="T71" s="81" t="s">
        <v>110</v>
      </c>
      <c r="U71" s="81" t="s">
        <v>135</v>
      </c>
      <c r="V71" s="1"/>
      <c r="W71" s="81">
        <v>8</v>
      </c>
      <c r="X71" s="81">
        <v>9</v>
      </c>
      <c r="Y71" s="81" t="s">
        <v>111</v>
      </c>
      <c r="Z71" s="81" t="s">
        <v>111</v>
      </c>
      <c r="AA71" s="81" t="s">
        <v>111</v>
      </c>
      <c r="AB71" s="81" t="s">
        <v>111</v>
      </c>
      <c r="AC71" s="81" t="s">
        <v>111</v>
      </c>
      <c r="AD71" s="81" t="s">
        <v>110</v>
      </c>
      <c r="AE71" s="81" t="s">
        <v>111</v>
      </c>
      <c r="AF71" s="81" t="s">
        <v>111</v>
      </c>
      <c r="AG71" s="81" t="s">
        <v>142</v>
      </c>
      <c r="AH71" s="81" t="s">
        <v>111</v>
      </c>
      <c r="AI71" s="81" t="s">
        <v>125</v>
      </c>
      <c r="AJ71" s="81" t="s">
        <v>111</v>
      </c>
      <c r="AK71" s="81">
        <v>41</v>
      </c>
      <c r="AL71" s="81" t="s">
        <v>111</v>
      </c>
      <c r="AM71" s="81" t="s">
        <v>111</v>
      </c>
      <c r="AN71" s="81" t="s">
        <v>231</v>
      </c>
      <c r="AO71" s="81" t="s">
        <v>111</v>
      </c>
      <c r="AP71" s="81"/>
      <c r="AQ71" s="101" t="s">
        <v>110</v>
      </c>
      <c r="AR71" s="1" t="s">
        <v>112</v>
      </c>
      <c r="AS71" s="1"/>
      <c r="AT71" s="83"/>
    </row>
    <row r="72" spans="1:324" x14ac:dyDescent="0.25">
      <c r="A72" s="1">
        <v>69</v>
      </c>
      <c r="B72" s="79">
        <v>45914</v>
      </c>
      <c r="C72" s="80">
        <v>0.55486111111111114</v>
      </c>
      <c r="D72" s="81"/>
      <c r="E72" s="81"/>
      <c r="F72" s="81"/>
      <c r="G72" s="81" t="s">
        <v>114</v>
      </c>
      <c r="H72" s="81" t="s">
        <v>128</v>
      </c>
      <c r="I72" s="79"/>
      <c r="J72" s="81" t="s">
        <v>122</v>
      </c>
      <c r="K72" s="81">
        <v>40</v>
      </c>
      <c r="L72" s="81">
        <v>3</v>
      </c>
      <c r="M72" s="81" t="s">
        <v>123</v>
      </c>
      <c r="N72" s="81">
        <v>4080</v>
      </c>
      <c r="O72" s="81">
        <v>51</v>
      </c>
      <c r="P72" s="81">
        <v>36</v>
      </c>
      <c r="Q72" s="81">
        <v>4</v>
      </c>
      <c r="R72" s="81" t="s">
        <v>110</v>
      </c>
      <c r="S72" s="81" t="s">
        <v>110</v>
      </c>
      <c r="T72" s="81" t="s">
        <v>110</v>
      </c>
      <c r="U72" s="81" t="s">
        <v>135</v>
      </c>
      <c r="V72" s="1"/>
      <c r="W72" s="81">
        <v>9</v>
      </c>
      <c r="X72" s="81">
        <v>9</v>
      </c>
      <c r="Y72" s="81" t="s">
        <v>111</v>
      </c>
      <c r="Z72" s="81" t="s">
        <v>111</v>
      </c>
      <c r="AA72" s="81" t="s">
        <v>111</v>
      </c>
      <c r="AB72" s="81" t="s">
        <v>111</v>
      </c>
      <c r="AC72" s="81" t="s">
        <v>111</v>
      </c>
      <c r="AD72" s="81" t="s">
        <v>110</v>
      </c>
      <c r="AE72" s="81" t="s">
        <v>111</v>
      </c>
      <c r="AF72" s="81" t="s">
        <v>111</v>
      </c>
      <c r="AG72" s="81" t="s">
        <v>142</v>
      </c>
      <c r="AH72" s="81" t="s">
        <v>111</v>
      </c>
      <c r="AI72" s="81" t="s">
        <v>125</v>
      </c>
      <c r="AJ72" s="81" t="s">
        <v>111</v>
      </c>
      <c r="AK72" s="81">
        <v>37</v>
      </c>
      <c r="AL72" s="81" t="s">
        <v>111</v>
      </c>
      <c r="AM72" s="81" t="s">
        <v>111</v>
      </c>
      <c r="AN72" s="81" t="s">
        <v>232</v>
      </c>
      <c r="AO72" s="81" t="s">
        <v>111</v>
      </c>
      <c r="AP72" s="81"/>
      <c r="AQ72" s="101" t="s">
        <v>110</v>
      </c>
      <c r="AR72" s="1" t="s">
        <v>112</v>
      </c>
      <c r="AS72" s="1"/>
      <c r="AT72" s="83"/>
    </row>
    <row r="73" spans="1:324" x14ac:dyDescent="0.25">
      <c r="A73" s="1">
        <v>70</v>
      </c>
      <c r="B73" s="79">
        <v>45914</v>
      </c>
      <c r="C73" s="80">
        <v>0.70763888888888893</v>
      </c>
      <c r="D73" s="137"/>
      <c r="E73" s="81"/>
      <c r="F73" s="81"/>
      <c r="G73" s="81" t="s">
        <v>114</v>
      </c>
      <c r="H73" s="81" t="s">
        <v>121</v>
      </c>
      <c r="I73" s="79"/>
      <c r="J73" s="81" t="s">
        <v>122</v>
      </c>
      <c r="K73" s="81">
        <v>40</v>
      </c>
      <c r="L73" s="81">
        <v>1</v>
      </c>
      <c r="M73" s="81" t="s">
        <v>113</v>
      </c>
      <c r="N73" s="81">
        <v>3750</v>
      </c>
      <c r="O73" s="81">
        <v>48</v>
      </c>
      <c r="P73" s="81">
        <v>34</v>
      </c>
      <c r="Q73" s="81">
        <v>4</v>
      </c>
      <c r="R73" s="81" t="s">
        <v>110</v>
      </c>
      <c r="S73" s="81" t="s">
        <v>110</v>
      </c>
      <c r="T73" s="81" t="s">
        <v>110</v>
      </c>
      <c r="U73" s="81" t="s">
        <v>135</v>
      </c>
      <c r="V73" s="1"/>
      <c r="W73" s="81">
        <v>9</v>
      </c>
      <c r="X73" s="81">
        <v>9</v>
      </c>
      <c r="Y73" s="81" t="s">
        <v>111</v>
      </c>
      <c r="Z73" s="81" t="s">
        <v>111</v>
      </c>
      <c r="AA73" s="81" t="s">
        <v>111</v>
      </c>
      <c r="AB73" s="81" t="s">
        <v>111</v>
      </c>
      <c r="AC73" s="81" t="s">
        <v>111</v>
      </c>
      <c r="AD73" s="81" t="s">
        <v>110</v>
      </c>
      <c r="AE73" s="81" t="s">
        <v>111</v>
      </c>
      <c r="AF73" s="81" t="s">
        <v>111</v>
      </c>
      <c r="AG73" s="81" t="s">
        <v>142</v>
      </c>
      <c r="AH73" s="81" t="s">
        <v>111</v>
      </c>
      <c r="AI73" s="81" t="s">
        <v>125</v>
      </c>
      <c r="AJ73" s="81" t="s">
        <v>111</v>
      </c>
      <c r="AK73" s="81">
        <v>29</v>
      </c>
      <c r="AL73" s="81" t="s">
        <v>111</v>
      </c>
      <c r="AM73" s="81" t="s">
        <v>111</v>
      </c>
      <c r="AN73" s="81" t="s">
        <v>158</v>
      </c>
      <c r="AO73" s="81" t="s">
        <v>111</v>
      </c>
      <c r="AP73" s="81"/>
      <c r="AQ73" s="101" t="s">
        <v>110</v>
      </c>
      <c r="AR73" s="1" t="s">
        <v>112</v>
      </c>
      <c r="AS73" s="1"/>
      <c r="AT73" s="83"/>
    </row>
    <row r="74" spans="1:324" x14ac:dyDescent="0.25">
      <c r="A74" s="1">
        <v>71</v>
      </c>
      <c r="B74" s="79">
        <f ca="1">+H76+B74:U75+B74:U75</f>
        <v>0</v>
      </c>
      <c r="C74" s="80">
        <v>0.41944444444444445</v>
      </c>
      <c r="D74" s="92"/>
      <c r="E74" s="81"/>
      <c r="F74" s="81"/>
      <c r="G74" s="81" t="s">
        <v>126</v>
      </c>
      <c r="H74" s="81" t="s">
        <v>126</v>
      </c>
      <c r="I74" s="79"/>
      <c r="J74" s="81" t="s">
        <v>129</v>
      </c>
      <c r="K74" s="81">
        <v>37</v>
      </c>
      <c r="L74" s="81">
        <v>2</v>
      </c>
      <c r="M74" s="81" t="s">
        <v>113</v>
      </c>
      <c r="N74" s="81">
        <v>3590</v>
      </c>
      <c r="O74" s="81">
        <v>49.5</v>
      </c>
      <c r="P74" s="81">
        <v>35</v>
      </c>
      <c r="Q74" s="81">
        <v>4</v>
      </c>
      <c r="R74" s="81" t="s">
        <v>110</v>
      </c>
      <c r="S74" s="81" t="s">
        <v>110</v>
      </c>
      <c r="T74" s="81" t="s">
        <v>110</v>
      </c>
      <c r="U74" s="81" t="s">
        <v>130</v>
      </c>
      <c r="V74" s="1"/>
      <c r="W74" s="81">
        <v>9</v>
      </c>
      <c r="X74" s="81">
        <v>10</v>
      </c>
      <c r="Y74" s="81" t="s">
        <v>111</v>
      </c>
      <c r="Z74" s="81" t="s">
        <v>111</v>
      </c>
      <c r="AA74" s="81" t="s">
        <v>111</v>
      </c>
      <c r="AB74" s="81" t="s">
        <v>110</v>
      </c>
      <c r="AC74" s="81" t="s">
        <v>110</v>
      </c>
      <c r="AD74" s="81" t="s">
        <v>110</v>
      </c>
      <c r="AE74" s="81" t="s">
        <v>111</v>
      </c>
      <c r="AF74" s="81" t="s">
        <v>111</v>
      </c>
      <c r="AG74" s="81" t="s">
        <v>142</v>
      </c>
      <c r="AH74" s="81" t="s">
        <v>111</v>
      </c>
      <c r="AI74" s="81" t="s">
        <v>125</v>
      </c>
      <c r="AJ74" s="81" t="s">
        <v>111</v>
      </c>
      <c r="AK74" s="81">
        <v>32</v>
      </c>
      <c r="AL74" s="81" t="s">
        <v>111</v>
      </c>
      <c r="AM74" s="81" t="s">
        <v>111</v>
      </c>
      <c r="AN74" s="81" t="s">
        <v>233</v>
      </c>
      <c r="AO74" s="81" t="s">
        <v>111</v>
      </c>
      <c r="AP74" s="81"/>
      <c r="AQ74" s="101" t="s">
        <v>110</v>
      </c>
      <c r="AR74" s="1" t="s">
        <v>131</v>
      </c>
      <c r="AS74" s="1"/>
      <c r="AT74" s="83" t="s">
        <v>110</v>
      </c>
    </row>
    <row r="75" spans="1:324" x14ac:dyDescent="0.25">
      <c r="A75" s="1">
        <v>72</v>
      </c>
      <c r="B75" s="79">
        <v>45915</v>
      </c>
      <c r="C75" s="80">
        <v>0.50069444444444444</v>
      </c>
      <c r="D75" s="81"/>
      <c r="E75" s="81"/>
      <c r="F75" s="81"/>
      <c r="G75" s="81" t="s">
        <v>133</v>
      </c>
      <c r="H75" s="81" t="s">
        <v>134</v>
      </c>
      <c r="I75" s="79"/>
      <c r="J75" s="81" t="s">
        <v>129</v>
      </c>
      <c r="K75" s="81">
        <v>38</v>
      </c>
      <c r="L75" s="81">
        <v>0</v>
      </c>
      <c r="M75" s="81" t="s">
        <v>123</v>
      </c>
      <c r="N75" s="81">
        <v>3220</v>
      </c>
      <c r="O75" s="81">
        <v>48</v>
      </c>
      <c r="P75" s="81">
        <v>34</v>
      </c>
      <c r="Q75" s="81">
        <v>4</v>
      </c>
      <c r="R75" s="81" t="s">
        <v>110</v>
      </c>
      <c r="S75" s="81" t="s">
        <v>110</v>
      </c>
      <c r="T75" s="81" t="s">
        <v>110</v>
      </c>
      <c r="U75" s="81" t="s">
        <v>130</v>
      </c>
      <c r="V75" s="1"/>
      <c r="W75" s="81">
        <v>9</v>
      </c>
      <c r="X75" s="81">
        <v>9</v>
      </c>
      <c r="Y75" s="81" t="s">
        <v>111</v>
      </c>
      <c r="Z75" s="81" t="s">
        <v>111</v>
      </c>
      <c r="AA75" s="81" t="s">
        <v>111</v>
      </c>
      <c r="AB75" s="81" t="s">
        <v>111</v>
      </c>
      <c r="AC75" s="81" t="s">
        <v>110</v>
      </c>
      <c r="AD75" s="81" t="s">
        <v>110</v>
      </c>
      <c r="AE75" s="81" t="s">
        <v>111</v>
      </c>
      <c r="AF75" s="81" t="s">
        <v>111</v>
      </c>
      <c r="AG75" s="81" t="s">
        <v>142</v>
      </c>
      <c r="AH75" s="81" t="s">
        <v>111</v>
      </c>
      <c r="AI75" s="81" t="s">
        <v>125</v>
      </c>
      <c r="AJ75" s="81" t="s">
        <v>111</v>
      </c>
      <c r="AK75" s="81">
        <v>35</v>
      </c>
      <c r="AL75" s="81" t="s">
        <v>111</v>
      </c>
      <c r="AM75" s="81" t="s">
        <v>111</v>
      </c>
      <c r="AN75" s="81" t="s">
        <v>136</v>
      </c>
      <c r="AO75" s="81" t="s">
        <v>111</v>
      </c>
      <c r="AP75" s="81"/>
      <c r="AQ75" s="101" t="s">
        <v>110</v>
      </c>
      <c r="AR75" s="1" t="s">
        <v>131</v>
      </c>
      <c r="AS75" s="1"/>
      <c r="AT75" s="83" t="s">
        <v>110</v>
      </c>
    </row>
    <row r="76" spans="1:324" x14ac:dyDescent="0.25">
      <c r="A76" s="1">
        <v>73</v>
      </c>
      <c r="B76" s="79">
        <v>45915</v>
      </c>
      <c r="C76" s="80">
        <v>0.9604166666666667</v>
      </c>
      <c r="D76" s="81"/>
      <c r="E76" s="81"/>
      <c r="F76" s="81"/>
      <c r="G76" s="81" t="s">
        <v>185</v>
      </c>
      <c r="H76" s="81" t="s">
        <v>185</v>
      </c>
      <c r="I76" s="79"/>
      <c r="J76" s="81" t="s">
        <v>127</v>
      </c>
      <c r="K76" s="81">
        <v>34</v>
      </c>
      <c r="L76" s="81">
        <v>4</v>
      </c>
      <c r="M76" s="81" t="s">
        <v>113</v>
      </c>
      <c r="N76" s="81">
        <v>2360</v>
      </c>
      <c r="O76" s="81">
        <v>47</v>
      </c>
      <c r="P76" s="81">
        <v>32</v>
      </c>
      <c r="Q76" s="81">
        <v>4</v>
      </c>
      <c r="R76" s="81" t="s">
        <v>110</v>
      </c>
      <c r="S76" s="81" t="s">
        <v>110</v>
      </c>
      <c r="T76" s="81" t="s">
        <v>110</v>
      </c>
      <c r="U76" s="81" t="s">
        <v>234</v>
      </c>
      <c r="V76" s="1"/>
      <c r="W76" s="81">
        <v>9</v>
      </c>
      <c r="X76" s="81">
        <v>10</v>
      </c>
      <c r="Y76" s="81" t="s">
        <v>111</v>
      </c>
      <c r="Z76" s="81" t="s">
        <v>111</v>
      </c>
      <c r="AA76" s="81" t="s">
        <v>111</v>
      </c>
      <c r="AB76" s="81" t="s">
        <v>111</v>
      </c>
      <c r="AC76" s="81" t="s">
        <v>111</v>
      </c>
      <c r="AD76" s="81" t="s">
        <v>110</v>
      </c>
      <c r="AE76" s="81" t="s">
        <v>111</v>
      </c>
      <c r="AF76" s="81" t="s">
        <v>111</v>
      </c>
      <c r="AG76" s="81" t="s">
        <v>142</v>
      </c>
      <c r="AH76" s="81" t="s">
        <v>111</v>
      </c>
      <c r="AI76" s="81" t="s">
        <v>125</v>
      </c>
      <c r="AJ76" s="81" t="s">
        <v>111</v>
      </c>
      <c r="AK76" s="81">
        <v>34</v>
      </c>
      <c r="AL76" s="81" t="s">
        <v>111</v>
      </c>
      <c r="AM76" s="81" t="s">
        <v>111</v>
      </c>
      <c r="AN76" s="81" t="s">
        <v>235</v>
      </c>
      <c r="AO76" s="81" t="s">
        <v>111</v>
      </c>
      <c r="AP76" s="81"/>
      <c r="AQ76" s="101" t="s">
        <v>110</v>
      </c>
      <c r="AR76" s="1" t="s">
        <v>131</v>
      </c>
      <c r="AS76" s="1"/>
      <c r="AT76" s="83" t="s">
        <v>110</v>
      </c>
    </row>
    <row r="77" spans="1:324" x14ac:dyDescent="0.25">
      <c r="A77" s="1">
        <v>74</v>
      </c>
      <c r="B77" s="79">
        <v>45916</v>
      </c>
      <c r="C77" s="80">
        <v>0.28819444444444448</v>
      </c>
      <c r="D77" s="81"/>
      <c r="E77" s="81"/>
      <c r="F77" s="81"/>
      <c r="G77" s="81" t="s">
        <v>139</v>
      </c>
      <c r="H77" s="81" t="s">
        <v>139</v>
      </c>
      <c r="I77" s="79"/>
      <c r="J77" s="81" t="s">
        <v>122</v>
      </c>
      <c r="K77" s="81">
        <v>37</v>
      </c>
      <c r="L77" s="81">
        <v>5</v>
      </c>
      <c r="M77" s="81" t="s">
        <v>113</v>
      </c>
      <c r="N77" s="81">
        <v>2830</v>
      </c>
      <c r="O77" s="81">
        <v>46</v>
      </c>
      <c r="P77" s="81">
        <v>34</v>
      </c>
      <c r="Q77" s="81">
        <v>4</v>
      </c>
      <c r="R77" s="81" t="s">
        <v>110</v>
      </c>
      <c r="S77" s="81" t="s">
        <v>110</v>
      </c>
      <c r="T77" s="81" t="s">
        <v>110</v>
      </c>
      <c r="U77" s="81" t="s">
        <v>135</v>
      </c>
      <c r="V77" s="1"/>
      <c r="W77" s="81" t="s">
        <v>236</v>
      </c>
      <c r="X77" s="81"/>
      <c r="Y77" s="81" t="s">
        <v>111</v>
      </c>
      <c r="Z77" s="81" t="s">
        <v>111</v>
      </c>
      <c r="AA77" s="81" t="s">
        <v>111</v>
      </c>
      <c r="AB77" s="81" t="s">
        <v>111</v>
      </c>
      <c r="AC77" s="81" t="s">
        <v>111</v>
      </c>
      <c r="AD77" s="81" t="s">
        <v>111</v>
      </c>
      <c r="AE77" s="81" t="s">
        <v>111</v>
      </c>
      <c r="AF77" s="81" t="s">
        <v>111</v>
      </c>
      <c r="AG77" s="81" t="s">
        <v>142</v>
      </c>
      <c r="AH77" s="81" t="s">
        <v>111</v>
      </c>
      <c r="AI77" s="81" t="s">
        <v>125</v>
      </c>
      <c r="AJ77" s="81" t="s">
        <v>111</v>
      </c>
      <c r="AK77" s="81">
        <v>28</v>
      </c>
      <c r="AL77" s="81" t="s">
        <v>111</v>
      </c>
      <c r="AM77" s="81" t="s">
        <v>111</v>
      </c>
      <c r="AN77" s="81" t="s">
        <v>226</v>
      </c>
      <c r="AO77" s="81" t="s">
        <v>111</v>
      </c>
      <c r="AP77" s="81"/>
      <c r="AQ77" s="101" t="s">
        <v>110</v>
      </c>
      <c r="AR77" s="1" t="s">
        <v>112</v>
      </c>
      <c r="AS77" s="1"/>
      <c r="AT77" s="83"/>
    </row>
    <row r="78" spans="1:324" x14ac:dyDescent="0.25">
      <c r="A78" s="1">
        <v>75</v>
      </c>
      <c r="B78" s="79">
        <v>45916</v>
      </c>
      <c r="C78" s="80">
        <v>0.41388888888888892</v>
      </c>
      <c r="D78" s="81"/>
      <c r="E78" s="81"/>
      <c r="F78" s="81"/>
      <c r="G78" s="81" t="s">
        <v>192</v>
      </c>
      <c r="H78" s="81" t="s">
        <v>192</v>
      </c>
      <c r="I78" s="79"/>
      <c r="J78" s="81" t="s">
        <v>129</v>
      </c>
      <c r="K78" s="81">
        <v>40</v>
      </c>
      <c r="L78" s="81">
        <v>1</v>
      </c>
      <c r="M78" s="81" t="s">
        <v>113</v>
      </c>
      <c r="N78" s="81">
        <v>3110</v>
      </c>
      <c r="O78" s="81">
        <v>48</v>
      </c>
      <c r="P78" s="81">
        <v>35</v>
      </c>
      <c r="Q78" s="81">
        <v>4</v>
      </c>
      <c r="R78" s="81" t="s">
        <v>110</v>
      </c>
      <c r="S78" s="81" t="s">
        <v>110</v>
      </c>
      <c r="T78" s="81" t="s">
        <v>110</v>
      </c>
      <c r="U78" s="81" t="s">
        <v>130</v>
      </c>
      <c r="V78" s="1"/>
      <c r="W78" s="81">
        <v>9</v>
      </c>
      <c r="X78" s="81">
        <v>10</v>
      </c>
      <c r="Y78" s="81" t="s">
        <v>111</v>
      </c>
      <c r="Z78" s="81" t="s">
        <v>111</v>
      </c>
      <c r="AA78" s="81" t="s">
        <v>111</v>
      </c>
      <c r="AB78" s="81" t="s">
        <v>111</v>
      </c>
      <c r="AC78" s="81" t="s">
        <v>110</v>
      </c>
      <c r="AD78" s="81" t="s">
        <v>110</v>
      </c>
      <c r="AE78" s="81" t="s">
        <v>111</v>
      </c>
      <c r="AF78" s="81" t="s">
        <v>111</v>
      </c>
      <c r="AG78" s="81" t="s">
        <v>142</v>
      </c>
      <c r="AH78" s="81" t="s">
        <v>111</v>
      </c>
      <c r="AI78" s="81" t="s">
        <v>125</v>
      </c>
      <c r="AJ78" s="81" t="s">
        <v>111</v>
      </c>
      <c r="AK78" s="81">
        <v>36</v>
      </c>
      <c r="AL78" s="81" t="s">
        <v>111</v>
      </c>
      <c r="AM78" s="81" t="s">
        <v>111</v>
      </c>
      <c r="AN78" s="81" t="s">
        <v>158</v>
      </c>
      <c r="AO78" s="81" t="s">
        <v>111</v>
      </c>
      <c r="AP78" s="81"/>
      <c r="AQ78" s="101" t="s">
        <v>110</v>
      </c>
      <c r="AR78" s="1" t="s">
        <v>131</v>
      </c>
      <c r="AS78" s="1"/>
      <c r="AT78" s="83" t="s">
        <v>111</v>
      </c>
    </row>
    <row r="79" spans="1:324" x14ac:dyDescent="0.25">
      <c r="A79" s="1">
        <v>76</v>
      </c>
      <c r="B79" s="79">
        <v>45916</v>
      </c>
      <c r="C79" s="80">
        <v>0.47986111111111113</v>
      </c>
      <c r="D79" s="81"/>
      <c r="E79" s="81"/>
      <c r="F79" s="81"/>
      <c r="G79" s="81" t="s">
        <v>159</v>
      </c>
      <c r="H79" s="81" t="s">
        <v>237</v>
      </c>
      <c r="I79" s="79"/>
      <c r="J79" s="81" t="s">
        <v>129</v>
      </c>
      <c r="K79" s="81">
        <v>38</v>
      </c>
      <c r="L79" s="81">
        <v>0</v>
      </c>
      <c r="M79" s="81" t="s">
        <v>123</v>
      </c>
      <c r="N79" s="81">
        <v>3220</v>
      </c>
      <c r="O79" s="81">
        <v>50</v>
      </c>
      <c r="P79" s="81">
        <v>34</v>
      </c>
      <c r="Q79" s="81">
        <v>4</v>
      </c>
      <c r="R79" s="81" t="s">
        <v>110</v>
      </c>
      <c r="S79" s="81" t="s">
        <v>110</v>
      </c>
      <c r="T79" s="81" t="s">
        <v>110</v>
      </c>
      <c r="U79" s="81" t="s">
        <v>130</v>
      </c>
      <c r="V79" s="1"/>
      <c r="W79" s="81">
        <v>9</v>
      </c>
      <c r="X79" s="81">
        <v>9</v>
      </c>
      <c r="Y79" s="81" t="s">
        <v>111</v>
      </c>
      <c r="Z79" s="81" t="s">
        <v>111</v>
      </c>
      <c r="AA79" s="81" t="s">
        <v>111</v>
      </c>
      <c r="AB79" s="81" t="s">
        <v>110</v>
      </c>
      <c r="AC79" s="81" t="s">
        <v>110</v>
      </c>
      <c r="AD79" s="81" t="s">
        <v>111</v>
      </c>
      <c r="AE79" s="81" t="s">
        <v>111</v>
      </c>
      <c r="AF79" s="81" t="s">
        <v>111</v>
      </c>
      <c r="AG79" s="81" t="s">
        <v>142</v>
      </c>
      <c r="AH79" s="81" t="s">
        <v>111</v>
      </c>
      <c r="AI79" s="81" t="s">
        <v>125</v>
      </c>
      <c r="AJ79" s="81" t="s">
        <v>111</v>
      </c>
      <c r="AK79" s="81">
        <v>36</v>
      </c>
      <c r="AL79" s="81" t="s">
        <v>111</v>
      </c>
      <c r="AM79" s="81" t="s">
        <v>111</v>
      </c>
      <c r="AN79" s="81" t="s">
        <v>160</v>
      </c>
      <c r="AO79" s="81" t="s">
        <v>111</v>
      </c>
      <c r="AP79" s="81"/>
      <c r="AQ79" s="101" t="s">
        <v>110</v>
      </c>
      <c r="AR79" s="1" t="s">
        <v>131</v>
      </c>
      <c r="AS79" s="1"/>
      <c r="AT79" s="83" t="s">
        <v>110</v>
      </c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</row>
    <row r="80" spans="1:324" x14ac:dyDescent="0.25">
      <c r="A80" s="1">
        <v>77</v>
      </c>
      <c r="B80" s="79">
        <v>45916</v>
      </c>
      <c r="C80" s="80">
        <v>0.52222222222222225</v>
      </c>
      <c r="D80" s="81"/>
      <c r="E80" s="81"/>
      <c r="F80" s="81"/>
      <c r="G80" s="81" t="s">
        <v>238</v>
      </c>
      <c r="H80" s="81" t="s">
        <v>238</v>
      </c>
      <c r="I80" s="79"/>
      <c r="J80" s="81" t="s">
        <v>122</v>
      </c>
      <c r="K80" s="81">
        <v>39</v>
      </c>
      <c r="L80" s="81">
        <v>2</v>
      </c>
      <c r="M80" s="81" t="s">
        <v>123</v>
      </c>
      <c r="N80" s="81">
        <v>3370</v>
      </c>
      <c r="O80" s="81">
        <v>50</v>
      </c>
      <c r="P80" s="81">
        <v>34</v>
      </c>
      <c r="Q80" s="81">
        <v>4</v>
      </c>
      <c r="R80" s="81" t="s">
        <v>110</v>
      </c>
      <c r="S80" s="81" t="s">
        <v>110</v>
      </c>
      <c r="T80" s="81" t="s">
        <v>110</v>
      </c>
      <c r="U80" s="81" t="s">
        <v>124</v>
      </c>
      <c r="V80" s="1"/>
      <c r="W80" s="81">
        <v>9</v>
      </c>
      <c r="X80" s="81">
        <v>10</v>
      </c>
      <c r="Y80" s="81" t="s">
        <v>111</v>
      </c>
      <c r="Z80" s="81" t="s">
        <v>111</v>
      </c>
      <c r="AA80" s="81" t="s">
        <v>111</v>
      </c>
      <c r="AB80" s="81" t="s">
        <v>111</v>
      </c>
      <c r="AC80" s="81" t="s">
        <v>111</v>
      </c>
      <c r="AD80" s="81" t="s">
        <v>110</v>
      </c>
      <c r="AE80" s="81" t="s">
        <v>111</v>
      </c>
      <c r="AF80" s="81" t="s">
        <v>111</v>
      </c>
      <c r="AG80" s="81" t="s">
        <v>142</v>
      </c>
      <c r="AH80" s="81" t="s">
        <v>111</v>
      </c>
      <c r="AI80" s="81" t="s">
        <v>125</v>
      </c>
      <c r="AJ80" s="81" t="s">
        <v>111</v>
      </c>
      <c r="AK80" s="81">
        <v>34</v>
      </c>
      <c r="AL80" s="81" t="s">
        <v>111</v>
      </c>
      <c r="AM80" s="81" t="s">
        <v>111</v>
      </c>
      <c r="AN80" s="81" t="s">
        <v>167</v>
      </c>
      <c r="AO80" s="81" t="s">
        <v>111</v>
      </c>
      <c r="AP80" s="81"/>
      <c r="AQ80" s="101" t="s">
        <v>110</v>
      </c>
      <c r="AR80" s="1" t="s">
        <v>112</v>
      </c>
      <c r="AS80" s="1"/>
      <c r="AT80" s="83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  <c r="BP80" s="97"/>
      <c r="BQ80" s="97"/>
      <c r="BR80" s="97"/>
      <c r="BS80" s="97"/>
      <c r="BT80" s="97"/>
      <c r="BU80" s="97"/>
      <c r="BV80" s="97"/>
      <c r="BW80" s="97"/>
      <c r="BX80" s="97"/>
      <c r="BY80" s="97"/>
      <c r="BZ80" s="97"/>
      <c r="CA80" s="97"/>
      <c r="CB80" s="97"/>
      <c r="CC80" s="97"/>
      <c r="CD80" s="97"/>
      <c r="CE80" s="97"/>
      <c r="CF80" s="97"/>
      <c r="CG80" s="97"/>
      <c r="CH80" s="97"/>
      <c r="CI80" s="97"/>
      <c r="CJ80" s="97"/>
      <c r="CK80" s="97"/>
      <c r="CL80" s="97"/>
      <c r="CM80" s="97"/>
      <c r="CN80" s="97"/>
      <c r="CO80" s="97"/>
      <c r="CP80" s="97"/>
      <c r="CQ80" s="97"/>
      <c r="CR80" s="97"/>
      <c r="CS80" s="97"/>
      <c r="CT80" s="97"/>
      <c r="CU80" s="97"/>
      <c r="CV80" s="97"/>
      <c r="CW80" s="97"/>
      <c r="CX80" s="97"/>
      <c r="CY80" s="97"/>
      <c r="CZ80" s="97"/>
      <c r="DA80" s="97"/>
      <c r="DB80" s="97"/>
      <c r="DC80" s="97"/>
      <c r="DD80" s="97"/>
      <c r="DE80" s="97"/>
      <c r="DF80" s="97"/>
      <c r="DG80" s="97"/>
      <c r="DH80" s="97"/>
      <c r="DI80" s="97"/>
      <c r="DJ80" s="97"/>
      <c r="DK80" s="97"/>
      <c r="DL80" s="97"/>
      <c r="DM80" s="97"/>
      <c r="DN80" s="97"/>
      <c r="DO80" s="97"/>
      <c r="DP80" s="97"/>
      <c r="DQ80" s="97"/>
      <c r="DR80" s="97"/>
      <c r="DS80" s="97"/>
      <c r="DT80" s="97"/>
      <c r="DU80" s="97"/>
      <c r="DV80" s="97"/>
      <c r="DW80" s="97"/>
      <c r="DX80" s="97"/>
      <c r="DY80" s="97"/>
      <c r="DZ80" s="97"/>
      <c r="EA80" s="97"/>
      <c r="EB80" s="97"/>
      <c r="EC80" s="97"/>
      <c r="ED80" s="97"/>
      <c r="EE80" s="97"/>
      <c r="EF80" s="97"/>
      <c r="EG80" s="97"/>
      <c r="EH80" s="97"/>
      <c r="EI80" s="97"/>
      <c r="EJ80" s="97"/>
      <c r="EK80" s="97"/>
      <c r="EL80" s="97"/>
      <c r="EM80" s="97"/>
      <c r="EN80" s="97"/>
      <c r="EO80" s="97"/>
      <c r="EP80" s="97"/>
      <c r="EQ80" s="97"/>
      <c r="ER80" s="97"/>
      <c r="ES80" s="97"/>
      <c r="ET80" s="97"/>
      <c r="EU80" s="97"/>
      <c r="EV80" s="97"/>
      <c r="EW80" s="97"/>
      <c r="EX80" s="97"/>
      <c r="EY80" s="97"/>
      <c r="EZ80" s="97"/>
      <c r="FA80" s="97"/>
      <c r="FB80" s="97"/>
      <c r="FC80" s="97"/>
      <c r="FD80" s="97"/>
      <c r="FE80" s="97"/>
      <c r="FF80" s="97"/>
      <c r="FG80" s="97"/>
      <c r="FH80" s="97"/>
      <c r="FI80" s="97"/>
      <c r="FJ80" s="97"/>
      <c r="FK80" s="97"/>
      <c r="FL80" s="97"/>
      <c r="FM80" s="97"/>
      <c r="FN80" s="97"/>
      <c r="FO80" s="97"/>
      <c r="FP80" s="97"/>
      <c r="FQ80" s="97"/>
      <c r="FR80" s="97"/>
      <c r="FS80" s="97"/>
      <c r="FT80" s="97"/>
      <c r="FU80" s="97"/>
      <c r="FV80" s="97"/>
      <c r="FW80" s="97"/>
      <c r="FX80" s="97"/>
      <c r="FY80" s="97"/>
      <c r="FZ80" s="97"/>
      <c r="GA80" s="97"/>
      <c r="GB80" s="97"/>
      <c r="GC80" s="97"/>
      <c r="GD80" s="97"/>
      <c r="GE80" s="97"/>
      <c r="GF80" s="97"/>
      <c r="GG80" s="97"/>
      <c r="GH80" s="97"/>
      <c r="GI80" s="97"/>
      <c r="GJ80" s="97"/>
      <c r="GK80" s="97"/>
      <c r="GL80" s="97"/>
      <c r="GM80" s="97"/>
      <c r="GN80" s="97"/>
      <c r="GO80" s="97"/>
      <c r="GP80" s="97"/>
      <c r="GQ80" s="97"/>
      <c r="GR80" s="97"/>
      <c r="GS80" s="97"/>
      <c r="GT80" s="97"/>
      <c r="GU80" s="97"/>
      <c r="GV80" s="97"/>
      <c r="GW80" s="97"/>
      <c r="GX80" s="97"/>
      <c r="GY80" s="97"/>
      <c r="GZ80" s="97"/>
      <c r="HA80" s="97"/>
      <c r="HB80" s="97"/>
      <c r="HC80" s="97"/>
      <c r="HD80" s="97"/>
      <c r="HE80" s="97"/>
      <c r="HF80" s="97"/>
      <c r="HG80" s="97"/>
      <c r="HH80" s="97"/>
      <c r="HI80" s="97"/>
      <c r="HJ80" s="97"/>
      <c r="HK80" s="97"/>
      <c r="HL80" s="97"/>
      <c r="HM80" s="97"/>
      <c r="HN80" s="97"/>
      <c r="HO80" s="97"/>
      <c r="HP80" s="97"/>
      <c r="HQ80" s="97"/>
      <c r="HR80" s="97"/>
      <c r="HS80" s="97"/>
      <c r="HT80" s="97"/>
      <c r="HU80" s="97"/>
      <c r="HV80" s="97"/>
      <c r="HW80" s="97"/>
      <c r="HX80" s="97"/>
      <c r="HY80" s="97"/>
      <c r="HZ80" s="97"/>
      <c r="IA80" s="97"/>
      <c r="IB80" s="97"/>
      <c r="IC80" s="97"/>
      <c r="ID80" s="97"/>
      <c r="IE80" s="97"/>
      <c r="IF80" s="97"/>
      <c r="IG80" s="97"/>
      <c r="IH80" s="97"/>
      <c r="II80" s="97"/>
      <c r="IJ80" s="97"/>
      <c r="IK80" s="97"/>
      <c r="IL80" s="97"/>
      <c r="IM80" s="97"/>
      <c r="IN80" s="97"/>
      <c r="IO80" s="97"/>
      <c r="IP80" s="97"/>
      <c r="IQ80" s="97"/>
      <c r="IR80" s="97"/>
      <c r="IS80" s="97"/>
      <c r="IT80" s="97"/>
      <c r="IU80" s="97"/>
      <c r="IV80" s="97"/>
      <c r="IW80" s="97"/>
      <c r="IX80" s="97"/>
      <c r="IY80" s="97"/>
      <c r="IZ80" s="97"/>
      <c r="JA80" s="97"/>
      <c r="JB80" s="97"/>
      <c r="JC80" s="97"/>
      <c r="JD80" s="97"/>
      <c r="JE80" s="97"/>
      <c r="JF80" s="97"/>
      <c r="JG80" s="97"/>
      <c r="JH80" s="97"/>
      <c r="JI80" s="97"/>
      <c r="JJ80" s="97"/>
      <c r="JK80" s="97"/>
      <c r="JL80" s="97"/>
      <c r="JM80" s="97"/>
      <c r="JN80" s="97"/>
      <c r="JO80" s="97"/>
      <c r="JP80" s="97"/>
      <c r="JQ80" s="97"/>
      <c r="JR80" s="97"/>
      <c r="JS80" s="97"/>
      <c r="JT80" s="97"/>
      <c r="JU80" s="97"/>
      <c r="JV80" s="97"/>
      <c r="JW80" s="97"/>
      <c r="JX80" s="97"/>
      <c r="JY80" s="97"/>
      <c r="JZ80" s="97"/>
      <c r="KA80" s="97"/>
      <c r="KB80" s="97"/>
      <c r="KC80" s="97"/>
      <c r="KD80" s="97"/>
      <c r="KE80" s="97"/>
      <c r="KF80" s="97"/>
      <c r="KG80" s="97"/>
      <c r="KH80" s="97"/>
      <c r="KI80" s="97"/>
      <c r="KJ80" s="97"/>
      <c r="KK80" s="97"/>
      <c r="KL80" s="97"/>
      <c r="KM80" s="97"/>
      <c r="KN80" s="97"/>
      <c r="KO80" s="97"/>
      <c r="KP80" s="97"/>
      <c r="KQ80" s="97"/>
      <c r="KR80" s="97"/>
      <c r="KS80" s="97"/>
      <c r="KT80" s="97"/>
      <c r="KU80" s="97"/>
      <c r="KV80" s="97"/>
      <c r="KW80" s="97"/>
      <c r="KX80" s="97"/>
      <c r="KY80" s="97"/>
      <c r="KZ80" s="97"/>
      <c r="LA80" s="97"/>
      <c r="LB80" s="97"/>
      <c r="LC80" s="97"/>
      <c r="LD80" s="97"/>
      <c r="LE80" s="97"/>
      <c r="LF80" s="97"/>
      <c r="LG80" s="97"/>
      <c r="LH80" s="97"/>
      <c r="LI80" s="97"/>
      <c r="LJ80" s="97"/>
      <c r="LK80" s="97"/>
      <c r="LL80" s="97"/>
    </row>
    <row r="81" spans="1:324" s="82" customFormat="1" x14ac:dyDescent="0.25">
      <c r="A81" s="1">
        <v>78</v>
      </c>
      <c r="B81" s="79">
        <v>45916</v>
      </c>
      <c r="C81" s="80">
        <v>0.67499999999999993</v>
      </c>
      <c r="D81" s="81"/>
      <c r="E81" s="81"/>
      <c r="F81" s="81"/>
      <c r="G81" s="81" t="s">
        <v>238</v>
      </c>
      <c r="H81" s="81" t="s">
        <v>238</v>
      </c>
      <c r="I81" s="79"/>
      <c r="J81" s="81" t="s">
        <v>122</v>
      </c>
      <c r="K81" s="81">
        <v>38</v>
      </c>
      <c r="L81" s="81">
        <v>0</v>
      </c>
      <c r="M81" s="81" t="s">
        <v>123</v>
      </c>
      <c r="N81" s="81">
        <v>3280</v>
      </c>
      <c r="O81" s="81">
        <v>49.5</v>
      </c>
      <c r="P81" s="81">
        <v>35</v>
      </c>
      <c r="Q81" s="81">
        <v>4</v>
      </c>
      <c r="R81" s="81" t="s">
        <v>110</v>
      </c>
      <c r="S81" s="81" t="s">
        <v>110</v>
      </c>
      <c r="T81" s="81" t="s">
        <v>110</v>
      </c>
      <c r="U81" s="81" t="s">
        <v>124</v>
      </c>
      <c r="V81" s="1"/>
      <c r="W81" s="81">
        <v>9</v>
      </c>
      <c r="X81" s="81">
        <v>10</v>
      </c>
      <c r="Y81" s="81" t="s">
        <v>111</v>
      </c>
      <c r="Z81" s="81" t="s">
        <v>111</v>
      </c>
      <c r="AA81" s="81" t="s">
        <v>111</v>
      </c>
      <c r="AB81" s="81" t="s">
        <v>111</v>
      </c>
      <c r="AC81" s="81" t="s">
        <v>111</v>
      </c>
      <c r="AD81" s="81" t="s">
        <v>110</v>
      </c>
      <c r="AE81" s="81" t="s">
        <v>111</v>
      </c>
      <c r="AF81" s="81" t="s">
        <v>111</v>
      </c>
      <c r="AG81" s="81" t="s">
        <v>142</v>
      </c>
      <c r="AH81" s="81" t="s">
        <v>111</v>
      </c>
      <c r="AI81" s="81" t="s">
        <v>125</v>
      </c>
      <c r="AJ81" s="81" t="s">
        <v>111</v>
      </c>
      <c r="AK81" s="81">
        <v>24</v>
      </c>
      <c r="AL81" s="81" t="s">
        <v>111</v>
      </c>
      <c r="AM81" s="81" t="s">
        <v>111</v>
      </c>
      <c r="AN81" s="81" t="s">
        <v>181</v>
      </c>
      <c r="AO81" s="81" t="s">
        <v>111</v>
      </c>
      <c r="AP81" s="81"/>
      <c r="AQ81" s="101" t="s">
        <v>110</v>
      </c>
      <c r="AR81" s="1" t="s">
        <v>112</v>
      </c>
      <c r="AS81" s="1"/>
      <c r="AT81" s="83"/>
      <c r="AU81" s="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</row>
    <row r="82" spans="1:324" x14ac:dyDescent="0.25">
      <c r="A82" s="1">
        <v>79</v>
      </c>
      <c r="B82" s="79">
        <v>45916</v>
      </c>
      <c r="C82" s="80">
        <v>0.78749999999999998</v>
      </c>
      <c r="D82" s="81"/>
      <c r="E82" s="81"/>
      <c r="F82" s="81"/>
      <c r="G82" s="81" t="s">
        <v>238</v>
      </c>
      <c r="H82" s="81" t="s">
        <v>238</v>
      </c>
      <c r="I82" s="79"/>
      <c r="J82" s="81" t="s">
        <v>122</v>
      </c>
      <c r="K82" s="81">
        <v>37</v>
      </c>
      <c r="L82" s="81">
        <v>6</v>
      </c>
      <c r="M82" s="81" t="s">
        <v>123</v>
      </c>
      <c r="N82" s="81">
        <v>3450</v>
      </c>
      <c r="O82" s="81">
        <v>49.5</v>
      </c>
      <c r="P82" s="81">
        <v>35.5</v>
      </c>
      <c r="Q82" s="81">
        <v>4</v>
      </c>
      <c r="R82" s="81" t="s">
        <v>110</v>
      </c>
      <c r="S82" s="81" t="s">
        <v>110</v>
      </c>
      <c r="T82" s="81" t="s">
        <v>110</v>
      </c>
      <c r="U82" s="81" t="s">
        <v>124</v>
      </c>
      <c r="V82" s="1"/>
      <c r="W82" s="81">
        <v>9</v>
      </c>
      <c r="X82" s="81">
        <v>10</v>
      </c>
      <c r="Y82" s="81" t="s">
        <v>111</v>
      </c>
      <c r="Z82" s="81" t="s">
        <v>111</v>
      </c>
      <c r="AA82" s="81" t="s">
        <v>111</v>
      </c>
      <c r="AB82" s="81" t="s">
        <v>111</v>
      </c>
      <c r="AC82" s="81" t="s">
        <v>111</v>
      </c>
      <c r="AD82" s="81" t="s">
        <v>110</v>
      </c>
      <c r="AE82" s="81" t="s">
        <v>111</v>
      </c>
      <c r="AF82" s="81" t="s">
        <v>111</v>
      </c>
      <c r="AG82" s="81" t="s">
        <v>142</v>
      </c>
      <c r="AH82" s="81" t="s">
        <v>111</v>
      </c>
      <c r="AI82" s="81" t="s">
        <v>125</v>
      </c>
      <c r="AJ82" s="81" t="s">
        <v>111</v>
      </c>
      <c r="AK82" s="81">
        <v>32</v>
      </c>
      <c r="AL82" s="81" t="s">
        <v>111</v>
      </c>
      <c r="AM82" s="81" t="s">
        <v>111</v>
      </c>
      <c r="AN82" s="81" t="s">
        <v>181</v>
      </c>
      <c r="AO82" s="81" t="s">
        <v>111</v>
      </c>
      <c r="AP82" s="81"/>
      <c r="AQ82" s="102" t="s">
        <v>110</v>
      </c>
      <c r="AR82" s="81" t="s">
        <v>112</v>
      </c>
      <c r="AS82" s="1"/>
      <c r="AT82" s="83"/>
    </row>
    <row r="83" spans="1:324" x14ac:dyDescent="0.25">
      <c r="A83" s="1">
        <v>80</v>
      </c>
      <c r="B83" s="79">
        <v>45917</v>
      </c>
      <c r="C83" s="80">
        <v>0.78680555555555554</v>
      </c>
      <c r="D83" s="81"/>
      <c r="E83" s="81"/>
      <c r="F83" s="81"/>
      <c r="G83" s="81" t="s">
        <v>114</v>
      </c>
      <c r="H83" s="81" t="s">
        <v>171</v>
      </c>
      <c r="I83" s="79"/>
      <c r="J83" s="81" t="s">
        <v>127</v>
      </c>
      <c r="K83" s="81">
        <v>37</v>
      </c>
      <c r="L83" s="81">
        <v>5</v>
      </c>
      <c r="M83" s="81" t="s">
        <v>113</v>
      </c>
      <c r="N83" s="81">
        <v>3320</v>
      </c>
      <c r="O83" s="81">
        <v>50</v>
      </c>
      <c r="P83" s="81">
        <v>34</v>
      </c>
      <c r="Q83" s="81">
        <v>4</v>
      </c>
      <c r="R83" s="81" t="s">
        <v>111</v>
      </c>
      <c r="S83" s="81" t="s">
        <v>110</v>
      </c>
      <c r="T83" s="81" t="s">
        <v>110</v>
      </c>
      <c r="U83" s="81" t="s">
        <v>132</v>
      </c>
      <c r="V83" s="1"/>
      <c r="W83" s="81">
        <v>9</v>
      </c>
      <c r="X83" s="81">
        <v>10</v>
      </c>
      <c r="Y83" s="81" t="s">
        <v>111</v>
      </c>
      <c r="Z83" s="81" t="s">
        <v>111</v>
      </c>
      <c r="AA83" s="81" t="s">
        <v>111</v>
      </c>
      <c r="AB83" s="81" t="s">
        <v>110</v>
      </c>
      <c r="AC83" s="81" t="s">
        <v>111</v>
      </c>
      <c r="AD83" s="81" t="s">
        <v>110</v>
      </c>
      <c r="AE83" s="81" t="s">
        <v>111</v>
      </c>
      <c r="AF83" s="81" t="s">
        <v>111</v>
      </c>
      <c r="AG83" s="81" t="s">
        <v>142</v>
      </c>
      <c r="AH83" s="81" t="s">
        <v>111</v>
      </c>
      <c r="AI83" s="81" t="s">
        <v>125</v>
      </c>
      <c r="AJ83" s="81" t="s">
        <v>111</v>
      </c>
      <c r="AK83" s="81">
        <v>28</v>
      </c>
      <c r="AL83" s="81" t="s">
        <v>111</v>
      </c>
      <c r="AM83" s="81" t="s">
        <v>111</v>
      </c>
      <c r="AN83" s="81" t="s">
        <v>160</v>
      </c>
      <c r="AO83" s="81" t="s">
        <v>111</v>
      </c>
      <c r="AP83" s="81"/>
      <c r="AQ83" s="101" t="s">
        <v>110</v>
      </c>
      <c r="AR83" s="1" t="s">
        <v>131</v>
      </c>
      <c r="AS83" s="1"/>
      <c r="AT83" s="83" t="s">
        <v>110</v>
      </c>
      <c r="LL83">
        <v>0</v>
      </c>
    </row>
    <row r="84" spans="1:324" x14ac:dyDescent="0.25">
      <c r="A84" s="1">
        <v>81</v>
      </c>
      <c r="B84" s="79">
        <v>45917</v>
      </c>
      <c r="C84" s="80">
        <v>0.83819444444444446</v>
      </c>
      <c r="D84" s="81"/>
      <c r="E84" s="81"/>
      <c r="F84" s="81"/>
      <c r="G84" s="81" t="s">
        <v>114</v>
      </c>
      <c r="H84" s="81" t="s">
        <v>149</v>
      </c>
      <c r="I84" s="79"/>
      <c r="J84" s="81" t="s">
        <v>122</v>
      </c>
      <c r="K84" s="81">
        <v>39</v>
      </c>
      <c r="L84" s="81">
        <v>5</v>
      </c>
      <c r="M84" s="81" t="s">
        <v>123</v>
      </c>
      <c r="N84" s="81">
        <v>3410</v>
      </c>
      <c r="O84" s="81">
        <v>48</v>
      </c>
      <c r="P84" s="81">
        <v>35.5</v>
      </c>
      <c r="Q84" s="81">
        <v>4</v>
      </c>
      <c r="R84" s="81" t="s">
        <v>110</v>
      </c>
      <c r="S84" s="81" t="s">
        <v>110</v>
      </c>
      <c r="T84" s="81" t="s">
        <v>110</v>
      </c>
      <c r="U84" s="81" t="s">
        <v>191</v>
      </c>
      <c r="V84" s="1"/>
      <c r="W84" s="81">
        <v>9</v>
      </c>
      <c r="X84" s="81">
        <v>10</v>
      </c>
      <c r="Y84" s="81" t="s">
        <v>111</v>
      </c>
      <c r="Z84" s="81" t="s">
        <v>111</v>
      </c>
      <c r="AA84" s="81" t="s">
        <v>111</v>
      </c>
      <c r="AB84" s="81" t="s">
        <v>111</v>
      </c>
      <c r="AC84" s="81" t="s">
        <v>111</v>
      </c>
      <c r="AD84" s="81" t="s">
        <v>110</v>
      </c>
      <c r="AE84" s="81" t="s">
        <v>111</v>
      </c>
      <c r="AF84" s="81" t="s">
        <v>111</v>
      </c>
      <c r="AG84" s="81" t="s">
        <v>142</v>
      </c>
      <c r="AH84" s="81" t="s">
        <v>111</v>
      </c>
      <c r="AI84" s="81" t="s">
        <v>125</v>
      </c>
      <c r="AJ84" s="81" t="s">
        <v>111</v>
      </c>
      <c r="AK84" s="81">
        <v>28</v>
      </c>
      <c r="AL84" s="81" t="s">
        <v>111</v>
      </c>
      <c r="AM84" s="81" t="s">
        <v>111</v>
      </c>
      <c r="AN84" s="81" t="s">
        <v>138</v>
      </c>
      <c r="AO84" s="81" t="s">
        <v>111</v>
      </c>
      <c r="AP84" s="81"/>
      <c r="AQ84" s="101" t="s">
        <v>110</v>
      </c>
      <c r="AR84" s="1" t="s">
        <v>112</v>
      </c>
      <c r="AS84" s="1"/>
      <c r="AT84" s="83"/>
    </row>
    <row r="85" spans="1:324" x14ac:dyDescent="0.25">
      <c r="A85" s="1">
        <v>82</v>
      </c>
      <c r="B85" s="79">
        <v>45918</v>
      </c>
      <c r="C85" s="80">
        <v>0.71597222222222223</v>
      </c>
      <c r="D85" s="81"/>
      <c r="E85" s="81"/>
      <c r="F85" s="81"/>
      <c r="G85" s="81" t="s">
        <v>114</v>
      </c>
      <c r="H85" s="81" t="s">
        <v>177</v>
      </c>
      <c r="I85" s="79"/>
      <c r="J85" s="81" t="s">
        <v>127</v>
      </c>
      <c r="K85" s="81">
        <v>38</v>
      </c>
      <c r="L85" s="81">
        <v>3</v>
      </c>
      <c r="M85" s="81" t="s">
        <v>113</v>
      </c>
      <c r="N85" s="81">
        <v>3610</v>
      </c>
      <c r="O85" s="81">
        <v>50</v>
      </c>
      <c r="P85" s="81">
        <v>36.5</v>
      </c>
      <c r="Q85" s="81">
        <v>4</v>
      </c>
      <c r="R85" s="81" t="s">
        <v>110</v>
      </c>
      <c r="S85" s="81" t="s">
        <v>110</v>
      </c>
      <c r="T85" s="81" t="s">
        <v>110</v>
      </c>
      <c r="U85" s="81" t="s">
        <v>174</v>
      </c>
      <c r="V85" s="1"/>
      <c r="W85" s="81">
        <v>8</v>
      </c>
      <c r="X85" s="81">
        <v>9</v>
      </c>
      <c r="Y85" s="81" t="s">
        <v>110</v>
      </c>
      <c r="Z85" s="81" t="s">
        <v>111</v>
      </c>
      <c r="AA85" s="81" t="s">
        <v>111</v>
      </c>
      <c r="AB85" s="81" t="s">
        <v>110</v>
      </c>
      <c r="AC85" s="81" t="s">
        <v>111</v>
      </c>
      <c r="AD85" s="81" t="s">
        <v>110</v>
      </c>
      <c r="AE85" s="81" t="s">
        <v>111</v>
      </c>
      <c r="AF85" s="81" t="s">
        <v>111</v>
      </c>
      <c r="AG85" s="81" t="s">
        <v>142</v>
      </c>
      <c r="AH85" s="81" t="s">
        <v>111</v>
      </c>
      <c r="AI85" s="81" t="s">
        <v>125</v>
      </c>
      <c r="AJ85" s="81" t="s">
        <v>111</v>
      </c>
      <c r="AK85" s="81">
        <v>19</v>
      </c>
      <c r="AL85" s="81" t="s">
        <v>111</v>
      </c>
      <c r="AM85" s="81" t="s">
        <v>111</v>
      </c>
      <c r="AN85" s="81" t="s">
        <v>239</v>
      </c>
      <c r="AO85" s="81" t="s">
        <v>111</v>
      </c>
      <c r="AP85" s="81"/>
      <c r="AQ85" s="101" t="s">
        <v>110</v>
      </c>
      <c r="AR85" s="1" t="s">
        <v>131</v>
      </c>
      <c r="AS85" s="1"/>
      <c r="AT85" s="83" t="s">
        <v>110</v>
      </c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45"/>
      <c r="ES85" s="45"/>
      <c r="ET85" s="45"/>
      <c r="EU85" s="45"/>
      <c r="EV85" s="45"/>
      <c r="EW85" s="45"/>
      <c r="EX85" s="45"/>
      <c r="EY85" s="45"/>
      <c r="EZ85" s="45"/>
      <c r="FA85" s="45"/>
      <c r="FB85" s="45"/>
      <c r="FC85" s="45"/>
      <c r="FD85" s="45"/>
      <c r="FE85" s="45"/>
      <c r="FF85" s="45"/>
      <c r="FG85" s="45"/>
      <c r="FH85" s="45"/>
      <c r="FI85" s="45"/>
      <c r="FJ85" s="45"/>
      <c r="FK85" s="45"/>
      <c r="FL85" s="45"/>
      <c r="FM85" s="45"/>
      <c r="FN85" s="45"/>
      <c r="FO85" s="45"/>
      <c r="FP85" s="45"/>
      <c r="FQ85" s="45"/>
      <c r="FR85" s="45"/>
      <c r="FS85" s="45"/>
      <c r="FT85" s="45"/>
      <c r="FU85" s="45"/>
      <c r="FV85" s="45"/>
      <c r="FW85" s="45"/>
      <c r="FX85" s="45"/>
      <c r="FY85" s="45"/>
      <c r="FZ85" s="45"/>
      <c r="GA85" s="45"/>
      <c r="GB85" s="45"/>
      <c r="GC85" s="45"/>
      <c r="GD85" s="45"/>
      <c r="GE85" s="45"/>
      <c r="GF85" s="45"/>
      <c r="GG85" s="45"/>
      <c r="GH85" s="45"/>
      <c r="GI85" s="45"/>
      <c r="GJ85" s="45"/>
      <c r="GK85" s="45"/>
      <c r="GL85" s="45"/>
      <c r="GM85" s="45"/>
      <c r="GN85" s="45"/>
      <c r="GO85" s="45"/>
      <c r="GP85" s="45"/>
      <c r="GQ85" s="45"/>
      <c r="GR85" s="45"/>
      <c r="GS85" s="45"/>
      <c r="GT85" s="45"/>
      <c r="GU85" s="45"/>
      <c r="GV85" s="45"/>
      <c r="GW85" s="45"/>
      <c r="GX85" s="45"/>
      <c r="GY85" s="45"/>
      <c r="GZ85" s="45"/>
      <c r="HA85" s="45"/>
      <c r="HB85" s="45"/>
      <c r="HC85" s="45"/>
      <c r="HD85" s="45"/>
      <c r="HE85" s="45"/>
      <c r="HF85" s="45"/>
      <c r="HG85" s="45"/>
      <c r="HH85" s="45"/>
      <c r="HI85" s="45"/>
      <c r="HJ85" s="45"/>
      <c r="HK85" s="45"/>
      <c r="HL85" s="45"/>
      <c r="HM85" s="45"/>
      <c r="HN85" s="45"/>
      <c r="HO85" s="45"/>
      <c r="HP85" s="45"/>
      <c r="HQ85" s="45"/>
      <c r="HR85" s="45"/>
      <c r="HS85" s="45"/>
      <c r="HT85" s="45"/>
      <c r="HU85" s="45"/>
      <c r="HV85" s="45"/>
      <c r="HW85" s="45"/>
      <c r="HX85" s="45"/>
      <c r="HY85" s="45"/>
      <c r="HZ85" s="45"/>
      <c r="IA85" s="45"/>
      <c r="IB85" s="45"/>
      <c r="IC85" s="45"/>
      <c r="ID85" s="45"/>
      <c r="IE85" s="45"/>
      <c r="IF85" s="45"/>
      <c r="IG85" s="45"/>
      <c r="IH85" s="45"/>
      <c r="II85" s="45"/>
      <c r="IJ85" s="45"/>
      <c r="IK85" s="45"/>
      <c r="IL85" s="45"/>
      <c r="IM85" s="45"/>
      <c r="IN85" s="45"/>
      <c r="IO85" s="45"/>
      <c r="IP85" s="45"/>
      <c r="IQ85" s="45"/>
      <c r="IR85" s="45"/>
      <c r="IS85" s="45"/>
      <c r="IT85" s="45"/>
      <c r="IU85" s="45"/>
      <c r="IV85" s="45"/>
      <c r="IW85" s="45"/>
      <c r="IX85" s="45"/>
      <c r="IY85" s="45"/>
      <c r="IZ85" s="45"/>
      <c r="JA85" s="45"/>
      <c r="JB85" s="45"/>
      <c r="JC85" s="45"/>
      <c r="JD85" s="45"/>
      <c r="JE85" s="45"/>
      <c r="JF85" s="45"/>
      <c r="JG85" s="45"/>
      <c r="JH85" s="45"/>
      <c r="JI85" s="45"/>
      <c r="JJ85" s="45"/>
      <c r="JK85" s="45"/>
      <c r="JL85" s="45"/>
      <c r="JM85" s="45"/>
      <c r="JN85" s="45"/>
      <c r="JO85" s="45"/>
      <c r="JP85" s="45"/>
      <c r="JQ85" s="45"/>
      <c r="JR85" s="45"/>
      <c r="JS85" s="45"/>
      <c r="JT85" s="45"/>
      <c r="JU85" s="45"/>
      <c r="JV85" s="45"/>
      <c r="JW85" s="45"/>
      <c r="JX85" s="45"/>
      <c r="JY85" s="45"/>
      <c r="JZ85" s="45"/>
      <c r="KA85" s="45"/>
      <c r="KB85" s="45"/>
      <c r="KC85" s="45"/>
      <c r="KD85" s="45"/>
      <c r="KE85" s="45"/>
      <c r="KF85" s="45"/>
      <c r="KG85" s="45"/>
      <c r="KH85" s="45"/>
      <c r="KI85" s="45"/>
      <c r="KJ85" s="45"/>
      <c r="KK85" s="45"/>
      <c r="KL85" s="45"/>
      <c r="KM85" s="45"/>
      <c r="KN85" s="45"/>
      <c r="KO85" s="45"/>
      <c r="KP85" s="45"/>
      <c r="KQ85" s="45"/>
      <c r="KR85" s="45"/>
      <c r="KS85" s="45"/>
      <c r="KT85" s="45"/>
      <c r="KU85" s="45"/>
      <c r="KV85" s="45"/>
      <c r="KW85" s="45"/>
      <c r="KX85" s="45"/>
      <c r="KY85" s="45"/>
      <c r="KZ85" s="45"/>
      <c r="LA85" s="45"/>
      <c r="LB85" s="45"/>
      <c r="LC85" s="45"/>
      <c r="LD85" s="45"/>
      <c r="LE85" s="45"/>
      <c r="LF85" s="45"/>
      <c r="LG85" s="45"/>
      <c r="LH85" s="45"/>
      <c r="LI85" s="45"/>
      <c r="LJ85" s="45"/>
      <c r="LK85" s="45"/>
      <c r="LL85" s="45"/>
    </row>
    <row r="86" spans="1:324" x14ac:dyDescent="0.25">
      <c r="A86" s="1">
        <v>83</v>
      </c>
      <c r="B86" s="79">
        <v>45918</v>
      </c>
      <c r="C86" s="80">
        <v>0.75208333333333333</v>
      </c>
      <c r="D86" s="81"/>
      <c r="E86" s="81"/>
      <c r="F86" s="81"/>
      <c r="G86" s="81" t="s">
        <v>114</v>
      </c>
      <c r="H86" s="81" t="s">
        <v>121</v>
      </c>
      <c r="I86" s="79"/>
      <c r="J86" s="81" t="s">
        <v>122</v>
      </c>
      <c r="K86" s="81">
        <v>40</v>
      </c>
      <c r="L86" s="81">
        <v>2</v>
      </c>
      <c r="M86" s="81" t="s">
        <v>123</v>
      </c>
      <c r="N86" s="81">
        <v>3980</v>
      </c>
      <c r="O86" s="81">
        <v>53</v>
      </c>
      <c r="P86" s="81">
        <v>37</v>
      </c>
      <c r="Q86" s="81">
        <v>4</v>
      </c>
      <c r="R86" s="81" t="s">
        <v>110</v>
      </c>
      <c r="S86" s="81" t="s">
        <v>110</v>
      </c>
      <c r="T86" s="81" t="s">
        <v>110</v>
      </c>
      <c r="U86" s="81" t="s">
        <v>174</v>
      </c>
      <c r="V86" s="1"/>
      <c r="W86" s="81">
        <v>9</v>
      </c>
      <c r="X86" s="81">
        <v>9</v>
      </c>
      <c r="Y86" s="81" t="s">
        <v>111</v>
      </c>
      <c r="Z86" s="81" t="s">
        <v>111</v>
      </c>
      <c r="AA86" s="81" t="s">
        <v>111</v>
      </c>
      <c r="AB86" s="81" t="s">
        <v>111</v>
      </c>
      <c r="AC86" s="81" t="s">
        <v>111</v>
      </c>
      <c r="AD86" s="81" t="s">
        <v>110</v>
      </c>
      <c r="AE86" s="81" t="s">
        <v>111</v>
      </c>
      <c r="AF86" s="81" t="s">
        <v>111</v>
      </c>
      <c r="AG86" s="81" t="s">
        <v>142</v>
      </c>
      <c r="AH86" s="81" t="s">
        <v>111</v>
      </c>
      <c r="AI86" s="81" t="s">
        <v>125</v>
      </c>
      <c r="AJ86" s="81" t="s">
        <v>111</v>
      </c>
      <c r="AK86" s="81">
        <v>21</v>
      </c>
      <c r="AL86" s="81" t="s">
        <v>110</v>
      </c>
      <c r="AM86" s="81" t="s">
        <v>111</v>
      </c>
      <c r="AN86" s="81" t="s">
        <v>158</v>
      </c>
      <c r="AO86" s="81" t="s">
        <v>111</v>
      </c>
      <c r="AP86" s="81"/>
      <c r="AQ86" s="101" t="s">
        <v>110</v>
      </c>
      <c r="AR86" s="1" t="s">
        <v>112</v>
      </c>
      <c r="AS86" s="1"/>
      <c r="AT86" s="83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45"/>
      <c r="ES86" s="45"/>
      <c r="ET86" s="45"/>
      <c r="EU86" s="45"/>
      <c r="EV86" s="45"/>
      <c r="EW86" s="45"/>
      <c r="EX86" s="45"/>
      <c r="EY86" s="45"/>
      <c r="EZ86" s="45"/>
      <c r="FA86" s="45"/>
      <c r="FB86" s="45"/>
      <c r="FC86" s="45"/>
      <c r="FD86" s="45"/>
      <c r="FE86" s="45"/>
      <c r="FF86" s="45"/>
      <c r="FG86" s="45"/>
      <c r="FH86" s="45"/>
      <c r="FI86" s="45"/>
      <c r="FJ86" s="45"/>
      <c r="FK86" s="45"/>
      <c r="FL86" s="45"/>
      <c r="FM86" s="45"/>
      <c r="FN86" s="45"/>
      <c r="FO86" s="45"/>
      <c r="FP86" s="45"/>
      <c r="FQ86" s="45"/>
      <c r="FR86" s="45"/>
      <c r="FS86" s="45"/>
      <c r="FT86" s="45"/>
      <c r="FU86" s="45"/>
      <c r="FV86" s="45"/>
      <c r="FW86" s="45"/>
      <c r="FX86" s="45"/>
      <c r="FY86" s="45"/>
      <c r="FZ86" s="45"/>
      <c r="GA86" s="45"/>
      <c r="GB86" s="45"/>
      <c r="GC86" s="45"/>
      <c r="GD86" s="45"/>
      <c r="GE86" s="45"/>
      <c r="GF86" s="45"/>
      <c r="GG86" s="45"/>
      <c r="GH86" s="45"/>
      <c r="GI86" s="45"/>
      <c r="GJ86" s="45"/>
      <c r="GK86" s="45"/>
      <c r="GL86" s="45"/>
      <c r="GM86" s="45"/>
      <c r="GN86" s="45"/>
      <c r="GO86" s="45"/>
      <c r="GP86" s="45"/>
      <c r="GQ86" s="45"/>
      <c r="GR86" s="45"/>
      <c r="GS86" s="45"/>
      <c r="GT86" s="45"/>
      <c r="GU86" s="45"/>
      <c r="GV86" s="45"/>
      <c r="GW86" s="45"/>
      <c r="GX86" s="45"/>
      <c r="GY86" s="45"/>
      <c r="GZ86" s="45"/>
      <c r="HA86" s="45"/>
      <c r="HB86" s="45"/>
      <c r="HC86" s="45"/>
      <c r="HD86" s="45"/>
      <c r="HE86" s="45"/>
      <c r="HF86" s="45"/>
      <c r="HG86" s="45"/>
      <c r="HH86" s="45"/>
      <c r="HI86" s="45"/>
      <c r="HJ86" s="45"/>
      <c r="HK86" s="45"/>
      <c r="HL86" s="45"/>
      <c r="HM86" s="45"/>
      <c r="HN86" s="45"/>
      <c r="HO86" s="45"/>
      <c r="HP86" s="45"/>
      <c r="HQ86" s="45"/>
      <c r="HR86" s="45"/>
      <c r="HS86" s="45"/>
      <c r="HT86" s="45"/>
      <c r="HU86" s="45"/>
      <c r="HV86" s="45"/>
      <c r="HW86" s="45"/>
      <c r="HX86" s="45"/>
      <c r="HY86" s="45"/>
      <c r="HZ86" s="45"/>
      <c r="IA86" s="45"/>
      <c r="IB86" s="45"/>
      <c r="IC86" s="45"/>
      <c r="ID86" s="45"/>
      <c r="IE86" s="45"/>
      <c r="IF86" s="45"/>
      <c r="IG86" s="45"/>
      <c r="IH86" s="45"/>
      <c r="II86" s="45"/>
      <c r="IJ86" s="45"/>
      <c r="IK86" s="45"/>
      <c r="IL86" s="45"/>
      <c r="IM86" s="45"/>
      <c r="IN86" s="45"/>
      <c r="IO86" s="45"/>
      <c r="IP86" s="45"/>
      <c r="IQ86" s="45"/>
      <c r="IR86" s="45"/>
      <c r="IS86" s="45"/>
      <c r="IT86" s="45"/>
      <c r="IU86" s="45"/>
      <c r="IV86" s="45"/>
      <c r="IW86" s="45"/>
      <c r="IX86" s="45"/>
      <c r="IY86" s="45"/>
      <c r="IZ86" s="45"/>
      <c r="JA86" s="45"/>
      <c r="JB86" s="45"/>
      <c r="JC86" s="45"/>
      <c r="JD86" s="45"/>
      <c r="JE86" s="45"/>
      <c r="JF86" s="45"/>
      <c r="JG86" s="45"/>
      <c r="JH86" s="45"/>
      <c r="JI86" s="45"/>
      <c r="JJ86" s="45"/>
      <c r="JK86" s="45"/>
      <c r="JL86" s="45"/>
      <c r="JM86" s="45"/>
      <c r="JN86" s="45"/>
      <c r="JO86" s="45"/>
      <c r="JP86" s="45"/>
      <c r="JQ86" s="45"/>
      <c r="JR86" s="45"/>
      <c r="JS86" s="45"/>
      <c r="JT86" s="45"/>
      <c r="JU86" s="45"/>
      <c r="JV86" s="45"/>
      <c r="JW86" s="45"/>
      <c r="JX86" s="45"/>
      <c r="JY86" s="45"/>
      <c r="JZ86" s="45"/>
      <c r="KA86" s="45"/>
      <c r="KB86" s="45"/>
      <c r="KC86" s="45"/>
      <c r="KD86" s="45"/>
      <c r="KE86" s="45"/>
      <c r="KF86" s="45"/>
      <c r="KG86" s="45"/>
      <c r="KH86" s="45"/>
      <c r="KI86" s="45"/>
      <c r="KJ86" s="45"/>
      <c r="KK86" s="45"/>
      <c r="KL86" s="45"/>
      <c r="KM86" s="45"/>
      <c r="KN86" s="45"/>
      <c r="KO86" s="45"/>
      <c r="KP86" s="45"/>
      <c r="KQ86" s="45"/>
      <c r="KR86" s="45"/>
      <c r="KS86" s="45"/>
      <c r="KT86" s="45"/>
      <c r="KU86" s="45"/>
      <c r="KV86" s="45"/>
      <c r="KW86" s="45"/>
      <c r="KX86" s="45"/>
      <c r="KY86" s="45"/>
      <c r="KZ86" s="45"/>
      <c r="LA86" s="45"/>
      <c r="LB86" s="45"/>
      <c r="LC86" s="45"/>
      <c r="LD86" s="45"/>
      <c r="LE86" s="45"/>
      <c r="LF86" s="45"/>
      <c r="LG86" s="45"/>
      <c r="LH86" s="45"/>
      <c r="LI86" s="45"/>
      <c r="LJ86" s="45"/>
      <c r="LK86" s="45"/>
      <c r="LL86" s="45"/>
    </row>
    <row r="87" spans="1:324" x14ac:dyDescent="0.25">
      <c r="A87" s="1">
        <v>84</v>
      </c>
      <c r="B87" s="79">
        <v>45918</v>
      </c>
      <c r="C87" s="80">
        <v>0.87916666666666676</v>
      </c>
      <c r="D87" s="81"/>
      <c r="E87" s="81"/>
      <c r="F87" s="81"/>
      <c r="G87" s="81" t="s">
        <v>114</v>
      </c>
      <c r="H87" s="81" t="s">
        <v>199</v>
      </c>
      <c r="I87" s="79"/>
      <c r="J87" s="81" t="s">
        <v>127</v>
      </c>
      <c r="K87" s="81">
        <v>32</v>
      </c>
      <c r="L87" s="81">
        <v>2</v>
      </c>
      <c r="M87" s="81" t="s">
        <v>123</v>
      </c>
      <c r="N87" s="81">
        <v>1990</v>
      </c>
      <c r="O87" s="81">
        <v>44</v>
      </c>
      <c r="P87" s="81">
        <v>32</v>
      </c>
      <c r="Q87" s="81">
        <v>4</v>
      </c>
      <c r="R87" s="81" t="s">
        <v>111</v>
      </c>
      <c r="S87" s="81" t="s">
        <v>110</v>
      </c>
      <c r="T87" s="81" t="s">
        <v>110</v>
      </c>
      <c r="U87" s="81" t="s">
        <v>132</v>
      </c>
      <c r="V87" s="1"/>
      <c r="W87" s="81">
        <v>4</v>
      </c>
      <c r="X87" s="81">
        <v>8</v>
      </c>
      <c r="Y87" s="81" t="s">
        <v>110</v>
      </c>
      <c r="Z87" s="81" t="s">
        <v>110</v>
      </c>
      <c r="AA87" s="81" t="s">
        <v>111</v>
      </c>
      <c r="AB87" s="81" t="s">
        <v>111</v>
      </c>
      <c r="AC87" s="81" t="s">
        <v>111</v>
      </c>
      <c r="AD87" s="81" t="s">
        <v>111</v>
      </c>
      <c r="AE87" s="81" t="s">
        <v>111</v>
      </c>
      <c r="AF87" s="81" t="s">
        <v>111</v>
      </c>
      <c r="AG87" s="81" t="s">
        <v>142</v>
      </c>
      <c r="AH87" s="81" t="s">
        <v>111</v>
      </c>
      <c r="AI87" s="81" t="s">
        <v>125</v>
      </c>
      <c r="AJ87" s="81" t="s">
        <v>111</v>
      </c>
      <c r="AK87" s="81">
        <v>33</v>
      </c>
      <c r="AL87" s="81" t="s">
        <v>111</v>
      </c>
      <c r="AM87" s="81" t="s">
        <v>111</v>
      </c>
      <c r="AN87" s="81" t="s">
        <v>240</v>
      </c>
      <c r="AO87" s="81" t="s">
        <v>111</v>
      </c>
      <c r="AP87" s="81"/>
      <c r="AQ87" s="101" t="s">
        <v>111</v>
      </c>
      <c r="AR87" s="1" t="s">
        <v>241</v>
      </c>
      <c r="AS87" s="1"/>
      <c r="AT87" s="83"/>
    </row>
    <row r="88" spans="1:324" x14ac:dyDescent="0.25">
      <c r="A88" s="1">
        <v>85</v>
      </c>
      <c r="B88" s="79">
        <v>45918</v>
      </c>
      <c r="C88" s="80">
        <v>0.94861111111111107</v>
      </c>
      <c r="D88" s="81"/>
      <c r="E88" s="81"/>
      <c r="F88" s="81"/>
      <c r="G88" s="81" t="s">
        <v>159</v>
      </c>
      <c r="H88" s="81" t="s">
        <v>159</v>
      </c>
      <c r="I88" s="79"/>
      <c r="J88" s="81" t="s">
        <v>127</v>
      </c>
      <c r="K88" s="81">
        <v>39</v>
      </c>
      <c r="L88" s="81">
        <v>4</v>
      </c>
      <c r="M88" s="81" t="s">
        <v>123</v>
      </c>
      <c r="N88" s="81">
        <v>3050</v>
      </c>
      <c r="O88" s="81">
        <v>50</v>
      </c>
      <c r="P88" s="81">
        <v>35</v>
      </c>
      <c r="Q88" s="81">
        <v>4</v>
      </c>
      <c r="R88" s="81" t="s">
        <v>110</v>
      </c>
      <c r="S88" s="81" t="s">
        <v>110</v>
      </c>
      <c r="T88" s="81" t="s">
        <v>110</v>
      </c>
      <c r="U88" s="81" t="s">
        <v>132</v>
      </c>
      <c r="V88" s="1"/>
      <c r="W88" s="81">
        <v>9</v>
      </c>
      <c r="X88" s="81">
        <v>10</v>
      </c>
      <c r="Y88" s="81" t="s">
        <v>111</v>
      </c>
      <c r="Z88" s="81" t="s">
        <v>111</v>
      </c>
      <c r="AA88" s="81" t="s">
        <v>111</v>
      </c>
      <c r="AB88" s="81" t="s">
        <v>111</v>
      </c>
      <c r="AC88" s="81" t="s">
        <v>111</v>
      </c>
      <c r="AD88" s="81" t="s">
        <v>110</v>
      </c>
      <c r="AE88" s="81" t="s">
        <v>111</v>
      </c>
      <c r="AF88" s="81" t="s">
        <v>111</v>
      </c>
      <c r="AG88" s="81" t="s">
        <v>142</v>
      </c>
      <c r="AH88" s="81" t="s">
        <v>111</v>
      </c>
      <c r="AI88" s="81" t="s">
        <v>125</v>
      </c>
      <c r="AJ88" s="81" t="s">
        <v>111</v>
      </c>
      <c r="AK88" s="81">
        <v>38</v>
      </c>
      <c r="AL88" s="81" t="s">
        <v>111</v>
      </c>
      <c r="AM88" s="81" t="s">
        <v>111</v>
      </c>
      <c r="AN88" s="81" t="s">
        <v>138</v>
      </c>
      <c r="AO88" s="81" t="s">
        <v>111</v>
      </c>
      <c r="AP88" s="81"/>
      <c r="AQ88" s="101" t="s">
        <v>110</v>
      </c>
      <c r="AR88" s="1" t="s">
        <v>131</v>
      </c>
      <c r="AS88" s="1"/>
      <c r="AT88" s="83" t="s">
        <v>110</v>
      </c>
    </row>
    <row r="89" spans="1:324" x14ac:dyDescent="0.25">
      <c r="A89" s="1">
        <v>86</v>
      </c>
      <c r="B89" s="79">
        <v>45919</v>
      </c>
      <c r="C89" s="80">
        <v>0.18472222222222223</v>
      </c>
      <c r="D89" s="81"/>
      <c r="E89" s="81"/>
      <c r="F89" s="81"/>
      <c r="G89" s="81" t="s">
        <v>114</v>
      </c>
      <c r="H89" s="81" t="s">
        <v>128</v>
      </c>
      <c r="I89" s="79"/>
      <c r="J89" s="81" t="s">
        <v>122</v>
      </c>
      <c r="K89" s="81">
        <v>39</v>
      </c>
      <c r="L89" s="81" t="s">
        <v>242</v>
      </c>
      <c r="M89" s="81" t="s">
        <v>123</v>
      </c>
      <c r="N89" s="81">
        <v>3660</v>
      </c>
      <c r="O89" s="81">
        <v>50</v>
      </c>
      <c r="P89" s="81">
        <v>36</v>
      </c>
      <c r="Q89" s="81">
        <v>4</v>
      </c>
      <c r="R89" s="81" t="s">
        <v>110</v>
      </c>
      <c r="S89" s="81" t="s">
        <v>110</v>
      </c>
      <c r="T89" s="81" t="s">
        <v>110</v>
      </c>
      <c r="U89" s="81" t="s">
        <v>132</v>
      </c>
      <c r="V89" s="1"/>
      <c r="W89" s="81">
        <v>9</v>
      </c>
      <c r="X89" s="81">
        <v>10</v>
      </c>
      <c r="Y89" s="81" t="s">
        <v>111</v>
      </c>
      <c r="Z89" s="81" t="s">
        <v>111</v>
      </c>
      <c r="AA89" s="81" t="s">
        <v>111</v>
      </c>
      <c r="AB89" s="81" t="s">
        <v>111</v>
      </c>
      <c r="AC89" s="81" t="s">
        <v>111</v>
      </c>
      <c r="AD89" s="81" t="s">
        <v>110</v>
      </c>
      <c r="AE89" s="81" t="s">
        <v>111</v>
      </c>
      <c r="AF89" s="81" t="s">
        <v>111</v>
      </c>
      <c r="AG89" s="81" t="s">
        <v>142</v>
      </c>
      <c r="AH89" s="81" t="s">
        <v>111</v>
      </c>
      <c r="AI89" s="81" t="s">
        <v>125</v>
      </c>
      <c r="AJ89" s="81" t="s">
        <v>111</v>
      </c>
      <c r="AK89" s="81">
        <v>25</v>
      </c>
      <c r="AL89" s="81" t="s">
        <v>111</v>
      </c>
      <c r="AM89" s="81" t="s">
        <v>111</v>
      </c>
      <c r="AN89" s="81" t="s">
        <v>138</v>
      </c>
      <c r="AO89" s="81" t="s">
        <v>111</v>
      </c>
      <c r="AP89" s="81"/>
      <c r="AQ89" s="101" t="s">
        <v>110</v>
      </c>
      <c r="AR89" s="1" t="s">
        <v>112</v>
      </c>
      <c r="AS89" s="1"/>
      <c r="AT89" s="83"/>
    </row>
    <row r="90" spans="1:324" x14ac:dyDescent="0.25">
      <c r="A90" s="1">
        <v>87</v>
      </c>
      <c r="B90" s="79">
        <v>45919</v>
      </c>
      <c r="C90" s="80">
        <v>0.3659722222222222</v>
      </c>
      <c r="D90" s="81"/>
      <c r="E90" s="81"/>
      <c r="F90" s="81"/>
      <c r="G90" s="81" t="s">
        <v>159</v>
      </c>
      <c r="H90" s="81" t="s">
        <v>159</v>
      </c>
      <c r="I90" s="79"/>
      <c r="J90" s="81" t="s">
        <v>122</v>
      </c>
      <c r="K90" s="81">
        <v>40</v>
      </c>
      <c r="L90" s="81">
        <v>5</v>
      </c>
      <c r="M90" s="81" t="s">
        <v>113</v>
      </c>
      <c r="N90" s="81">
        <v>3970</v>
      </c>
      <c r="O90" s="81">
        <v>51</v>
      </c>
      <c r="P90" s="81">
        <v>36.5</v>
      </c>
      <c r="Q90" s="81">
        <v>4</v>
      </c>
      <c r="R90" s="81" t="s">
        <v>110</v>
      </c>
      <c r="S90" s="81" t="s">
        <v>110</v>
      </c>
      <c r="T90" s="81" t="s">
        <v>110</v>
      </c>
      <c r="U90" s="81" t="s">
        <v>124</v>
      </c>
      <c r="V90" s="1"/>
      <c r="W90" s="81">
        <v>9</v>
      </c>
      <c r="X90" s="81">
        <v>10</v>
      </c>
      <c r="Y90" s="81" t="s">
        <v>111</v>
      </c>
      <c r="Z90" s="81" t="s">
        <v>111</v>
      </c>
      <c r="AA90" s="81" t="s">
        <v>111</v>
      </c>
      <c r="AB90" s="81" t="s">
        <v>111</v>
      </c>
      <c r="AC90" s="81" t="s">
        <v>111</v>
      </c>
      <c r="AD90" s="81" t="s">
        <v>110</v>
      </c>
      <c r="AE90" s="81" t="s">
        <v>111</v>
      </c>
      <c r="AF90" s="81" t="s">
        <v>111</v>
      </c>
      <c r="AG90" s="81" t="s">
        <v>142</v>
      </c>
      <c r="AH90" s="81" t="s">
        <v>111</v>
      </c>
      <c r="AI90" s="81" t="s">
        <v>125</v>
      </c>
      <c r="AJ90" s="81" t="s">
        <v>111</v>
      </c>
      <c r="AK90" s="81">
        <v>26</v>
      </c>
      <c r="AL90" s="81" t="s">
        <v>111</v>
      </c>
      <c r="AM90" s="81" t="s">
        <v>111</v>
      </c>
      <c r="AN90" s="81" t="s">
        <v>243</v>
      </c>
      <c r="AO90" s="81" t="s">
        <v>111</v>
      </c>
      <c r="AP90" s="81"/>
      <c r="AQ90" s="101" t="s">
        <v>110</v>
      </c>
      <c r="AR90" s="1" t="s">
        <v>112</v>
      </c>
      <c r="AS90" s="1"/>
      <c r="AT90" s="83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  <c r="BS90" s="145"/>
      <c r="BT90" s="145"/>
      <c r="BU90" s="145"/>
      <c r="BV90" s="145"/>
      <c r="BW90" s="145"/>
      <c r="BX90" s="145"/>
      <c r="BY90" s="145"/>
      <c r="BZ90" s="145"/>
      <c r="CA90" s="145"/>
      <c r="CB90" s="145"/>
      <c r="CC90" s="145"/>
      <c r="CD90" s="145"/>
      <c r="CE90" s="145"/>
      <c r="CF90" s="145"/>
      <c r="CG90" s="145"/>
      <c r="CH90" s="145"/>
      <c r="CI90" s="145"/>
      <c r="CJ90" s="145"/>
      <c r="CK90" s="145"/>
      <c r="CL90" s="145"/>
    </row>
    <row r="91" spans="1:324" x14ac:dyDescent="0.25">
      <c r="A91" s="1">
        <v>88</v>
      </c>
      <c r="B91" s="79">
        <v>45920</v>
      </c>
      <c r="C91" s="80">
        <v>3.4722222222222224E-2</v>
      </c>
      <c r="D91" s="81"/>
      <c r="E91" s="81"/>
      <c r="F91" s="81"/>
      <c r="G91" s="81" t="s">
        <v>179</v>
      </c>
      <c r="H91" s="81" t="s">
        <v>179</v>
      </c>
      <c r="I91" s="79"/>
      <c r="J91" s="81" t="s">
        <v>122</v>
      </c>
      <c r="K91" s="81">
        <v>38</v>
      </c>
      <c r="L91" s="81">
        <v>6</v>
      </c>
      <c r="M91" s="81" t="s">
        <v>123</v>
      </c>
      <c r="N91" s="81">
        <v>3300</v>
      </c>
      <c r="O91" s="81">
        <v>51.5</v>
      </c>
      <c r="P91" s="81">
        <v>35</v>
      </c>
      <c r="Q91" s="81">
        <v>4</v>
      </c>
      <c r="R91" s="81" t="s">
        <v>110</v>
      </c>
      <c r="S91" s="81" t="s">
        <v>110</v>
      </c>
      <c r="T91" s="81" t="s">
        <v>110</v>
      </c>
      <c r="U91" s="81" t="s">
        <v>174</v>
      </c>
      <c r="V91" s="1"/>
      <c r="W91" s="81">
        <v>9</v>
      </c>
      <c r="X91" s="81">
        <v>9</v>
      </c>
      <c r="Y91" s="81" t="s">
        <v>111</v>
      </c>
      <c r="Z91" s="81" t="s">
        <v>111</v>
      </c>
      <c r="AA91" s="81" t="s">
        <v>111</v>
      </c>
      <c r="AB91" s="81" t="s">
        <v>111</v>
      </c>
      <c r="AC91" s="81" t="s">
        <v>111</v>
      </c>
      <c r="AD91" s="81" t="s">
        <v>110</v>
      </c>
      <c r="AE91" s="81" t="s">
        <v>111</v>
      </c>
      <c r="AF91" s="81" t="s">
        <v>111</v>
      </c>
      <c r="AG91" s="81" t="s">
        <v>142</v>
      </c>
      <c r="AH91" s="81" t="s">
        <v>111</v>
      </c>
      <c r="AI91" s="81" t="s">
        <v>125</v>
      </c>
      <c r="AJ91" s="81" t="s">
        <v>111</v>
      </c>
      <c r="AK91" s="81">
        <v>25</v>
      </c>
      <c r="AL91" s="81" t="s">
        <v>111</v>
      </c>
      <c r="AM91" s="81" t="s">
        <v>111</v>
      </c>
      <c r="AN91" s="81" t="s">
        <v>160</v>
      </c>
      <c r="AO91" s="81" t="s">
        <v>111</v>
      </c>
      <c r="AP91" s="81"/>
      <c r="AQ91" s="101" t="s">
        <v>110</v>
      </c>
      <c r="AR91" s="1" t="s">
        <v>112</v>
      </c>
      <c r="AS91" s="1"/>
      <c r="AT91" s="83"/>
    </row>
    <row r="92" spans="1:324" x14ac:dyDescent="0.25">
      <c r="A92" s="1">
        <v>89</v>
      </c>
      <c r="B92" s="79">
        <v>45921</v>
      </c>
      <c r="C92" s="80">
        <v>0.31111111111111112</v>
      </c>
      <c r="D92" s="81"/>
      <c r="E92" s="81"/>
      <c r="F92" s="81"/>
      <c r="G92" s="81" t="s">
        <v>159</v>
      </c>
      <c r="H92" s="81" t="s">
        <v>159</v>
      </c>
      <c r="I92" s="79"/>
      <c r="J92" s="81" t="s">
        <v>127</v>
      </c>
      <c r="K92" s="81">
        <v>40</v>
      </c>
      <c r="L92" s="81">
        <v>0</v>
      </c>
      <c r="M92" s="81" t="s">
        <v>123</v>
      </c>
      <c r="N92" s="81">
        <v>3500</v>
      </c>
      <c r="O92" s="81">
        <v>50</v>
      </c>
      <c r="P92" s="81">
        <v>35</v>
      </c>
      <c r="Q92" s="81">
        <v>4</v>
      </c>
      <c r="R92" s="81" t="s">
        <v>110</v>
      </c>
      <c r="S92" s="81" t="s">
        <v>110</v>
      </c>
      <c r="T92" s="81" t="s">
        <v>110</v>
      </c>
      <c r="U92" s="81" t="s">
        <v>157</v>
      </c>
      <c r="V92" s="1"/>
      <c r="W92" s="81">
        <v>9</v>
      </c>
      <c r="X92" s="81">
        <v>10</v>
      </c>
      <c r="Y92" s="81" t="s">
        <v>111</v>
      </c>
      <c r="Z92" s="81" t="s">
        <v>111</v>
      </c>
      <c r="AA92" s="81" t="s">
        <v>111</v>
      </c>
      <c r="AB92" s="81" t="s">
        <v>111</v>
      </c>
      <c r="AC92" s="81" t="s">
        <v>111</v>
      </c>
      <c r="AD92" s="81" t="s">
        <v>110</v>
      </c>
      <c r="AE92" s="81" t="s">
        <v>111</v>
      </c>
      <c r="AF92" s="81" t="s">
        <v>111</v>
      </c>
      <c r="AG92" s="81" t="s">
        <v>142</v>
      </c>
      <c r="AH92" s="81" t="s">
        <v>111</v>
      </c>
      <c r="AI92" s="81" t="s">
        <v>125</v>
      </c>
      <c r="AJ92" s="81" t="s">
        <v>111</v>
      </c>
      <c r="AK92" s="81">
        <v>22</v>
      </c>
      <c r="AL92" s="81" t="s">
        <v>111</v>
      </c>
      <c r="AM92" s="81" t="s">
        <v>111</v>
      </c>
      <c r="AN92" s="81" t="s">
        <v>158</v>
      </c>
      <c r="AO92" s="81" t="s">
        <v>111</v>
      </c>
      <c r="AP92" s="81"/>
      <c r="AQ92" s="101" t="s">
        <v>110</v>
      </c>
      <c r="AR92" s="1" t="s">
        <v>131</v>
      </c>
      <c r="AS92" s="1"/>
      <c r="AT92" s="83" t="s">
        <v>115</v>
      </c>
    </row>
    <row r="93" spans="1:324" x14ac:dyDescent="0.25">
      <c r="A93" s="1">
        <v>90</v>
      </c>
      <c r="B93" s="79">
        <v>45921</v>
      </c>
      <c r="C93" s="80">
        <v>0.68680555555555556</v>
      </c>
      <c r="D93" s="81"/>
      <c r="E93" s="81"/>
      <c r="F93" s="81"/>
      <c r="G93" s="81" t="s">
        <v>179</v>
      </c>
      <c r="H93" s="81" t="s">
        <v>179</v>
      </c>
      <c r="I93" s="79"/>
      <c r="J93" s="81" t="s">
        <v>122</v>
      </c>
      <c r="K93" s="81">
        <v>37</v>
      </c>
      <c r="L93" s="81">
        <v>5</v>
      </c>
      <c r="M93" s="81" t="s">
        <v>123</v>
      </c>
      <c r="N93" s="81">
        <v>2910</v>
      </c>
      <c r="O93" s="81">
        <v>48</v>
      </c>
      <c r="P93" s="81">
        <v>33</v>
      </c>
      <c r="Q93" s="81">
        <v>4</v>
      </c>
      <c r="R93" s="81" t="s">
        <v>110</v>
      </c>
      <c r="S93" s="81" t="s">
        <v>110</v>
      </c>
      <c r="T93" s="81" t="s">
        <v>110</v>
      </c>
      <c r="U93" s="81" t="s">
        <v>132</v>
      </c>
      <c r="V93" s="1"/>
      <c r="W93" s="81">
        <v>9</v>
      </c>
      <c r="X93" s="81">
        <v>10</v>
      </c>
      <c r="Y93" s="81" t="s">
        <v>111</v>
      </c>
      <c r="Z93" s="81" t="s">
        <v>111</v>
      </c>
      <c r="AA93" s="81" t="s">
        <v>111</v>
      </c>
      <c r="AB93" s="81" t="s">
        <v>111</v>
      </c>
      <c r="AC93" s="81" t="s">
        <v>111</v>
      </c>
      <c r="AD93" s="81" t="s">
        <v>110</v>
      </c>
      <c r="AE93" s="81" t="s">
        <v>111</v>
      </c>
      <c r="AF93" s="81" t="s">
        <v>111</v>
      </c>
      <c r="AG93" s="81" t="s">
        <v>142</v>
      </c>
      <c r="AH93" s="81" t="s">
        <v>111</v>
      </c>
      <c r="AI93" s="81" t="s">
        <v>125</v>
      </c>
      <c r="AJ93" s="81" t="s">
        <v>111</v>
      </c>
      <c r="AK93" s="81">
        <v>43</v>
      </c>
      <c r="AL93" s="81" t="s">
        <v>111</v>
      </c>
      <c r="AM93" s="81" t="s">
        <v>111</v>
      </c>
      <c r="AN93" s="81" t="s">
        <v>215</v>
      </c>
      <c r="AO93" s="81" t="s">
        <v>111</v>
      </c>
      <c r="AP93" s="81"/>
      <c r="AQ93" s="101" t="s">
        <v>110</v>
      </c>
      <c r="AR93" s="1" t="s">
        <v>112</v>
      </c>
      <c r="AS93" s="1"/>
      <c r="AT93" s="83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  <c r="CS93" s="69"/>
      <c r="CT93" s="69"/>
      <c r="CU93" s="69"/>
      <c r="CV93" s="69"/>
      <c r="CW93" s="69"/>
      <c r="CX93" s="69"/>
      <c r="CY93" s="69"/>
      <c r="CZ93" s="69"/>
      <c r="DA93" s="69"/>
      <c r="DB93" s="69"/>
      <c r="DC93" s="69"/>
      <c r="DD93" s="69"/>
      <c r="DE93" s="69"/>
      <c r="DF93" s="69"/>
      <c r="DG93" s="69"/>
      <c r="DH93" s="69"/>
      <c r="DI93" s="69"/>
      <c r="DJ93" s="69"/>
      <c r="DK93" s="69"/>
      <c r="DL93" s="69"/>
      <c r="DM93" s="69"/>
      <c r="DN93" s="69"/>
      <c r="DO93" s="69"/>
      <c r="DP93" s="69"/>
      <c r="DQ93" s="69"/>
      <c r="DR93" s="69"/>
      <c r="DS93" s="69"/>
      <c r="DT93" s="69"/>
      <c r="DU93" s="69"/>
      <c r="DV93" s="69"/>
      <c r="DW93" s="69"/>
      <c r="DX93" s="69"/>
      <c r="DY93" s="69"/>
      <c r="DZ93" s="69"/>
      <c r="EA93" s="69"/>
      <c r="EB93" s="69"/>
      <c r="EC93" s="69"/>
      <c r="ED93" s="69"/>
      <c r="EE93" s="69"/>
      <c r="EF93" s="69"/>
      <c r="EG93" s="69"/>
      <c r="EH93" s="69"/>
      <c r="EI93" s="69"/>
      <c r="EJ93" s="69"/>
      <c r="EK93" s="69"/>
      <c r="EL93" s="69"/>
      <c r="EM93" s="69"/>
      <c r="EN93" s="69"/>
      <c r="EO93" s="69"/>
      <c r="EP93" s="69"/>
      <c r="EQ93" s="69"/>
      <c r="ER93" s="69"/>
      <c r="ES93" s="69"/>
      <c r="ET93" s="69"/>
      <c r="EU93" s="69"/>
      <c r="EV93" s="69"/>
      <c r="EW93" s="69"/>
      <c r="EX93" s="69"/>
      <c r="EY93" s="69"/>
      <c r="EZ93" s="69"/>
      <c r="FA93" s="69"/>
      <c r="FB93" s="69"/>
      <c r="FC93" s="69"/>
      <c r="FD93" s="69"/>
      <c r="FE93" s="69"/>
      <c r="FF93" s="69"/>
      <c r="FG93" s="69"/>
      <c r="FH93" s="69"/>
      <c r="FI93" s="69"/>
      <c r="FJ93" s="69"/>
      <c r="FK93" s="69"/>
      <c r="FL93" s="69"/>
      <c r="FM93" s="69"/>
      <c r="FN93" s="69"/>
      <c r="FO93" s="69"/>
      <c r="FP93" s="69"/>
      <c r="FQ93" s="69"/>
      <c r="FR93" s="69"/>
      <c r="FS93" s="69"/>
      <c r="FT93" s="69"/>
      <c r="FU93" s="69"/>
      <c r="FV93" s="69"/>
      <c r="FW93" s="69"/>
      <c r="FX93" s="69"/>
      <c r="FY93" s="69"/>
      <c r="FZ93" s="69"/>
      <c r="GA93" s="69"/>
      <c r="GB93" s="69"/>
      <c r="GC93" s="69"/>
      <c r="GD93" s="69"/>
      <c r="GE93" s="69"/>
      <c r="GF93" s="69"/>
      <c r="GG93" s="69"/>
      <c r="GH93" s="69"/>
      <c r="GI93" s="69"/>
      <c r="GJ93" s="69"/>
      <c r="GK93" s="69"/>
      <c r="GL93" s="69"/>
      <c r="GM93" s="69"/>
      <c r="GN93" s="69"/>
      <c r="GO93" s="69"/>
      <c r="GP93" s="69"/>
      <c r="GQ93" s="69"/>
      <c r="GR93" s="69"/>
      <c r="GS93" s="69"/>
      <c r="GT93" s="69"/>
      <c r="GU93" s="69"/>
      <c r="GV93" s="69"/>
      <c r="GW93" s="69"/>
      <c r="GX93" s="69"/>
      <c r="GY93" s="69"/>
      <c r="GZ93" s="69"/>
      <c r="HA93" s="69"/>
      <c r="HB93" s="69"/>
      <c r="HC93" s="69"/>
      <c r="HD93" s="69"/>
      <c r="HE93" s="69"/>
      <c r="HF93" s="69"/>
      <c r="HG93" s="69"/>
      <c r="HH93" s="69"/>
      <c r="HI93" s="69"/>
      <c r="HJ93" s="69"/>
      <c r="HK93" s="69"/>
      <c r="HL93" s="69"/>
      <c r="HM93" s="69"/>
      <c r="HN93" s="69"/>
      <c r="HO93" s="69"/>
      <c r="HP93" s="69"/>
      <c r="HQ93" s="69"/>
      <c r="HR93" s="69"/>
      <c r="HS93" s="69"/>
      <c r="HT93" s="69"/>
      <c r="HU93" s="69"/>
      <c r="HV93" s="69"/>
      <c r="HW93" s="69"/>
      <c r="HX93" s="69"/>
      <c r="HY93" s="69"/>
      <c r="HZ93" s="69"/>
      <c r="IA93" s="69"/>
      <c r="IB93" s="69"/>
      <c r="IC93" s="69"/>
      <c r="ID93" s="69"/>
      <c r="IE93" s="69"/>
      <c r="IF93" s="69"/>
      <c r="IG93" s="69"/>
      <c r="IH93" s="69"/>
      <c r="II93" s="69"/>
      <c r="IJ93" s="69"/>
      <c r="IK93" s="69"/>
      <c r="IL93" s="69"/>
      <c r="IM93" s="69"/>
      <c r="IN93" s="69"/>
      <c r="IO93" s="69"/>
      <c r="IP93" s="69"/>
      <c r="IQ93" s="69"/>
      <c r="IR93" s="69"/>
      <c r="IS93" s="69"/>
      <c r="IT93" s="69"/>
      <c r="IU93" s="69"/>
      <c r="IV93" s="69"/>
      <c r="IW93" s="69"/>
      <c r="IX93" s="69"/>
      <c r="IY93" s="69"/>
      <c r="IZ93" s="69"/>
      <c r="JA93" s="69"/>
      <c r="JB93" s="69"/>
      <c r="JC93" s="69"/>
      <c r="JD93" s="69"/>
      <c r="JE93" s="69"/>
      <c r="JF93" s="69"/>
      <c r="JG93" s="69"/>
      <c r="JH93" s="69"/>
      <c r="JI93" s="69"/>
      <c r="JJ93" s="69"/>
      <c r="JK93" s="69"/>
      <c r="JL93" s="69"/>
      <c r="JM93" s="69"/>
      <c r="JN93" s="69"/>
      <c r="JO93" s="69"/>
      <c r="JP93" s="69"/>
      <c r="JQ93" s="69"/>
      <c r="JR93" s="69"/>
      <c r="JS93" s="69"/>
      <c r="JT93" s="69"/>
      <c r="JU93" s="69"/>
      <c r="JV93" s="69"/>
      <c r="JW93" s="69"/>
      <c r="JX93" s="69"/>
      <c r="JY93" s="69"/>
      <c r="JZ93" s="69"/>
      <c r="KA93" s="69"/>
      <c r="KB93" s="69"/>
      <c r="KC93" s="69"/>
      <c r="KD93" s="69"/>
      <c r="KE93" s="69"/>
      <c r="KF93" s="69"/>
      <c r="KG93" s="69"/>
      <c r="KH93" s="69"/>
      <c r="KI93" s="69"/>
      <c r="KJ93" s="69"/>
      <c r="KK93" s="69"/>
      <c r="KL93" s="69"/>
      <c r="KM93" s="69"/>
      <c r="KN93" s="69"/>
      <c r="KO93" s="69"/>
      <c r="KP93" s="69"/>
      <c r="KQ93" s="69"/>
      <c r="KR93" s="69"/>
      <c r="KS93" s="69"/>
      <c r="KT93" s="69"/>
      <c r="KU93" s="69"/>
      <c r="KV93" s="69"/>
      <c r="KW93" s="69"/>
      <c r="KX93" s="69"/>
      <c r="KY93" s="69"/>
      <c r="KZ93" s="69"/>
      <c r="LA93" s="69"/>
      <c r="LB93" s="69"/>
      <c r="LC93" s="69"/>
      <c r="LD93" s="69"/>
      <c r="LE93" s="69"/>
      <c r="LF93" s="69"/>
      <c r="LG93" s="69"/>
      <c r="LH93" s="69"/>
      <c r="LI93" s="69"/>
      <c r="LJ93" s="69"/>
      <c r="LK93" s="69"/>
      <c r="LL93" s="69"/>
    </row>
    <row r="94" spans="1:324" x14ac:dyDescent="0.25">
      <c r="A94" s="1">
        <v>91</v>
      </c>
      <c r="B94" s="79">
        <v>45922</v>
      </c>
      <c r="C94" s="80">
        <v>2.9166666666666664E-2</v>
      </c>
      <c r="D94" s="81"/>
      <c r="E94" s="81"/>
      <c r="F94" s="81"/>
      <c r="G94" s="81" t="s">
        <v>114</v>
      </c>
      <c r="H94" s="81" t="s">
        <v>212</v>
      </c>
      <c r="I94" s="79"/>
      <c r="J94" s="81" t="s">
        <v>122</v>
      </c>
      <c r="K94" s="81">
        <v>31</v>
      </c>
      <c r="L94" s="81">
        <v>0</v>
      </c>
      <c r="M94" s="81" t="s">
        <v>113</v>
      </c>
      <c r="N94" s="81">
        <v>1670</v>
      </c>
      <c r="O94" s="81">
        <v>43</v>
      </c>
      <c r="P94" s="81">
        <v>28</v>
      </c>
      <c r="Q94" s="81">
        <v>1</v>
      </c>
      <c r="R94" s="81" t="s">
        <v>111</v>
      </c>
      <c r="S94" s="81" t="s">
        <v>110</v>
      </c>
      <c r="T94" s="81" t="s">
        <v>110</v>
      </c>
      <c r="U94" s="81" t="s">
        <v>124</v>
      </c>
      <c r="V94" s="1"/>
      <c r="W94" s="81">
        <v>8</v>
      </c>
      <c r="X94" s="81">
        <v>8</v>
      </c>
      <c r="Y94" s="81" t="s">
        <v>111</v>
      </c>
      <c r="Z94" s="81" t="s">
        <v>111</v>
      </c>
      <c r="AA94" s="81" t="s">
        <v>111</v>
      </c>
      <c r="AB94" s="81" t="s">
        <v>111</v>
      </c>
      <c r="AC94" s="81" t="s">
        <v>111</v>
      </c>
      <c r="AD94" s="81" t="s">
        <v>111</v>
      </c>
      <c r="AE94" s="81" t="s">
        <v>111</v>
      </c>
      <c r="AF94" s="81" t="s">
        <v>111</v>
      </c>
      <c r="AG94" s="81" t="s">
        <v>244</v>
      </c>
      <c r="AH94" s="81" t="s">
        <v>111</v>
      </c>
      <c r="AI94" s="81" t="s">
        <v>244</v>
      </c>
      <c r="AJ94" s="81" t="s">
        <v>111</v>
      </c>
      <c r="AK94" s="81">
        <v>14</v>
      </c>
      <c r="AL94" s="81" t="s">
        <v>111</v>
      </c>
      <c r="AM94" s="81" t="s">
        <v>111</v>
      </c>
      <c r="AN94" s="81" t="s">
        <v>246</v>
      </c>
      <c r="AO94" s="81" t="s">
        <v>111</v>
      </c>
      <c r="AP94" s="81"/>
      <c r="AQ94" s="101" t="s">
        <v>111</v>
      </c>
      <c r="AR94" s="1" t="s">
        <v>137</v>
      </c>
      <c r="AS94" s="1"/>
      <c r="AT94" s="83"/>
      <c r="AU94" s="81" t="s">
        <v>245</v>
      </c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82"/>
      <c r="DP94" s="82"/>
      <c r="DQ94" s="82"/>
      <c r="DR94" s="82"/>
      <c r="DS94" s="82"/>
      <c r="DT94" s="82"/>
      <c r="DU94" s="82"/>
      <c r="DV94" s="82"/>
      <c r="DW94" s="82"/>
      <c r="DX94" s="82"/>
      <c r="DY94" s="82"/>
      <c r="DZ94" s="82"/>
      <c r="EA94" s="82"/>
      <c r="EB94" s="82"/>
      <c r="EC94" s="82"/>
      <c r="ED94" s="82"/>
      <c r="EE94" s="82"/>
      <c r="EF94" s="82"/>
      <c r="EG94" s="82"/>
      <c r="EH94" s="82"/>
      <c r="EI94" s="82"/>
      <c r="EJ94" s="82"/>
      <c r="EK94" s="82"/>
      <c r="EL94" s="82"/>
      <c r="EM94" s="82"/>
      <c r="EN94" s="82"/>
      <c r="EO94" s="82"/>
      <c r="EP94" s="82"/>
      <c r="EQ94" s="82"/>
      <c r="ER94" s="82"/>
      <c r="ES94" s="82"/>
      <c r="ET94" s="82"/>
      <c r="EU94" s="82"/>
      <c r="EV94" s="82"/>
      <c r="EW94" s="82"/>
      <c r="EX94" s="82"/>
      <c r="EY94" s="82"/>
      <c r="EZ94" s="82"/>
      <c r="FA94" s="82"/>
      <c r="FB94" s="82"/>
      <c r="FC94" s="82"/>
      <c r="FD94" s="82"/>
      <c r="FE94" s="82"/>
      <c r="FF94" s="82"/>
      <c r="FG94" s="82"/>
      <c r="FH94" s="82"/>
      <c r="FI94" s="82"/>
      <c r="FJ94" s="82"/>
      <c r="FK94" s="82"/>
      <c r="FL94" s="82"/>
      <c r="FM94" s="82"/>
      <c r="FN94" s="82"/>
      <c r="FO94" s="82"/>
      <c r="FP94" s="82"/>
      <c r="FQ94" s="82"/>
      <c r="FR94" s="82"/>
      <c r="FS94" s="82"/>
      <c r="FT94" s="82"/>
      <c r="FU94" s="82"/>
      <c r="FV94" s="82"/>
      <c r="FW94" s="82"/>
      <c r="FX94" s="82"/>
      <c r="FY94" s="82"/>
      <c r="FZ94" s="82"/>
      <c r="GA94" s="82"/>
      <c r="GB94" s="82"/>
      <c r="GC94" s="82"/>
      <c r="GD94" s="82"/>
      <c r="GE94" s="82"/>
      <c r="GF94" s="82"/>
      <c r="GG94" s="82"/>
      <c r="GH94" s="82"/>
      <c r="GI94" s="82"/>
      <c r="GJ94" s="82"/>
      <c r="GK94" s="82"/>
      <c r="GL94" s="82"/>
      <c r="GM94" s="82"/>
      <c r="GN94" s="82"/>
      <c r="GO94" s="82"/>
      <c r="GP94" s="82"/>
      <c r="GQ94" s="82"/>
      <c r="GR94" s="82"/>
      <c r="GS94" s="82"/>
      <c r="GT94" s="82"/>
      <c r="GU94" s="82"/>
      <c r="GV94" s="82"/>
      <c r="GW94" s="82"/>
      <c r="GX94" s="82"/>
      <c r="GY94" s="82"/>
      <c r="GZ94" s="82"/>
      <c r="HA94" s="82"/>
      <c r="HB94" s="82"/>
      <c r="HC94" s="82"/>
      <c r="HD94" s="82"/>
      <c r="HE94" s="82"/>
      <c r="HF94" s="82"/>
      <c r="HG94" s="82"/>
      <c r="HH94" s="82"/>
      <c r="HI94" s="82"/>
      <c r="HJ94" s="82"/>
      <c r="HK94" s="82"/>
      <c r="HL94" s="82"/>
      <c r="HM94" s="82"/>
      <c r="HN94" s="82"/>
      <c r="HO94" s="82"/>
      <c r="HP94" s="82"/>
      <c r="HQ94" s="82"/>
      <c r="HR94" s="82"/>
      <c r="HS94" s="82"/>
      <c r="HT94" s="82"/>
      <c r="HU94" s="82"/>
      <c r="HV94" s="82"/>
      <c r="HW94" s="82"/>
      <c r="HX94" s="82"/>
      <c r="HY94" s="82"/>
      <c r="HZ94" s="82"/>
      <c r="IA94" s="82"/>
      <c r="IB94" s="82"/>
      <c r="IC94" s="82"/>
      <c r="ID94" s="82"/>
      <c r="IE94" s="82"/>
      <c r="IF94" s="82"/>
      <c r="IG94" s="82"/>
      <c r="IH94" s="82"/>
      <c r="II94" s="82"/>
      <c r="IJ94" s="82"/>
      <c r="IK94" s="82"/>
      <c r="IL94" s="82"/>
      <c r="IM94" s="82"/>
      <c r="IN94" s="82"/>
      <c r="IO94" s="82"/>
      <c r="IP94" s="82"/>
      <c r="IQ94" s="82"/>
      <c r="IR94" s="82"/>
      <c r="IS94" s="82"/>
      <c r="IT94" s="82"/>
      <c r="IU94" s="82"/>
      <c r="IV94" s="82"/>
      <c r="IW94" s="82"/>
      <c r="IX94" s="82"/>
      <c r="IY94" s="82"/>
      <c r="IZ94" s="82"/>
      <c r="JA94" s="82"/>
      <c r="JB94" s="82"/>
      <c r="JC94" s="82"/>
      <c r="JD94" s="82"/>
      <c r="JE94" s="82"/>
      <c r="JF94" s="82"/>
      <c r="JG94" s="82"/>
      <c r="JH94" s="82"/>
      <c r="JI94" s="82"/>
      <c r="JJ94" s="82"/>
      <c r="JK94" s="82"/>
      <c r="JL94" s="82"/>
      <c r="JM94" s="82"/>
      <c r="JN94" s="82"/>
      <c r="JO94" s="82"/>
      <c r="JP94" s="82"/>
      <c r="JQ94" s="82"/>
      <c r="JR94" s="82"/>
      <c r="JS94" s="82"/>
      <c r="JT94" s="82"/>
      <c r="JU94" s="82"/>
      <c r="JV94" s="82"/>
      <c r="JW94" s="82"/>
      <c r="JX94" s="82"/>
      <c r="JY94" s="82"/>
      <c r="JZ94" s="82"/>
      <c r="KA94" s="82"/>
      <c r="KB94" s="82"/>
      <c r="KC94" s="82"/>
      <c r="KD94" s="82"/>
      <c r="KE94" s="82"/>
      <c r="KF94" s="82"/>
      <c r="KG94" s="82"/>
      <c r="KH94" s="82"/>
      <c r="KI94" s="82"/>
      <c r="KJ94" s="82"/>
      <c r="KK94" s="82"/>
      <c r="KL94" s="82"/>
      <c r="KM94" s="82"/>
      <c r="KN94" s="82"/>
      <c r="KO94" s="82"/>
      <c r="KP94" s="82"/>
      <c r="KQ94" s="82"/>
      <c r="KR94" s="82"/>
      <c r="KS94" s="82"/>
      <c r="KT94" s="82"/>
      <c r="KU94" s="82"/>
      <c r="KV94" s="82"/>
      <c r="KW94" s="82"/>
      <c r="KX94" s="82"/>
      <c r="KY94" s="82"/>
      <c r="KZ94" s="82"/>
      <c r="LA94" s="82"/>
      <c r="LB94" s="82"/>
      <c r="LC94" s="82"/>
      <c r="LD94" s="82"/>
      <c r="LE94" s="82"/>
      <c r="LF94" s="82"/>
      <c r="LG94" s="82"/>
      <c r="LH94" s="82"/>
      <c r="LI94" s="82"/>
      <c r="LJ94" s="82"/>
      <c r="LK94" s="82"/>
      <c r="LL94" s="82"/>
    </row>
    <row r="95" spans="1:324" x14ac:dyDescent="0.25">
      <c r="A95" s="1">
        <v>92</v>
      </c>
      <c r="B95" s="79">
        <v>45922</v>
      </c>
      <c r="C95" s="80">
        <v>0.12986111111111112</v>
      </c>
      <c r="D95" s="81"/>
      <c r="E95" s="81"/>
      <c r="F95" s="81"/>
      <c r="G95" s="81" t="s">
        <v>114</v>
      </c>
      <c r="H95" s="81" t="s">
        <v>149</v>
      </c>
      <c r="I95" s="79"/>
      <c r="J95" s="81" t="s">
        <v>127</v>
      </c>
      <c r="K95" s="81">
        <v>38</v>
      </c>
      <c r="L95" s="81">
        <v>4</v>
      </c>
      <c r="M95" s="81" t="s">
        <v>123</v>
      </c>
      <c r="N95" s="81">
        <v>3970</v>
      </c>
      <c r="O95" s="81">
        <v>52</v>
      </c>
      <c r="P95" s="81">
        <v>37</v>
      </c>
      <c r="Q95" s="81">
        <v>4</v>
      </c>
      <c r="R95" s="81" t="s">
        <v>110</v>
      </c>
      <c r="S95" s="81" t="s">
        <v>110</v>
      </c>
      <c r="T95" s="81" t="s">
        <v>110</v>
      </c>
      <c r="U95" s="81" t="s">
        <v>124</v>
      </c>
      <c r="V95" s="1"/>
      <c r="W95" s="81">
        <v>9</v>
      </c>
      <c r="X95" s="81">
        <v>9</v>
      </c>
      <c r="Y95" s="81" t="s">
        <v>111</v>
      </c>
      <c r="Z95" s="81" t="s">
        <v>111</v>
      </c>
      <c r="AA95" s="81" t="s">
        <v>111</v>
      </c>
      <c r="AB95" s="81" t="s">
        <v>110</v>
      </c>
      <c r="AC95" s="81" t="s">
        <v>111</v>
      </c>
      <c r="AD95" s="81" t="s">
        <v>110</v>
      </c>
      <c r="AE95" s="81" t="s">
        <v>111</v>
      </c>
      <c r="AF95" s="81" t="s">
        <v>111</v>
      </c>
      <c r="AG95" s="81" t="s">
        <v>142</v>
      </c>
      <c r="AH95" s="81" t="s">
        <v>111</v>
      </c>
      <c r="AI95" s="81" t="s">
        <v>125</v>
      </c>
      <c r="AJ95" s="81" t="s">
        <v>111</v>
      </c>
      <c r="AK95" s="81">
        <v>41</v>
      </c>
      <c r="AL95" s="81" t="s">
        <v>111</v>
      </c>
      <c r="AM95" s="81" t="s">
        <v>111</v>
      </c>
      <c r="AN95" s="81" t="s">
        <v>211</v>
      </c>
      <c r="AO95" s="81" t="s">
        <v>111</v>
      </c>
      <c r="AP95" s="81"/>
      <c r="AQ95" s="101" t="s">
        <v>110</v>
      </c>
      <c r="AR95" s="1" t="s">
        <v>131</v>
      </c>
      <c r="AS95" s="1"/>
      <c r="AT95" s="83"/>
    </row>
    <row r="96" spans="1:324" x14ac:dyDescent="0.25">
      <c r="A96" s="1">
        <v>93</v>
      </c>
      <c r="B96" s="79">
        <v>45922</v>
      </c>
      <c r="C96" s="80">
        <v>0.29236111111111113</v>
      </c>
      <c r="D96" s="81"/>
      <c r="E96" s="81"/>
      <c r="F96" s="81"/>
      <c r="G96" s="81" t="s">
        <v>179</v>
      </c>
      <c r="H96" s="81" t="s">
        <v>179</v>
      </c>
      <c r="I96" s="79"/>
      <c r="J96" s="81" t="s">
        <v>127</v>
      </c>
      <c r="K96" s="81">
        <v>39</v>
      </c>
      <c r="L96" s="81">
        <v>1</v>
      </c>
      <c r="M96" s="81" t="s">
        <v>113</v>
      </c>
      <c r="N96" s="81">
        <v>3060</v>
      </c>
      <c r="O96" s="81">
        <v>49</v>
      </c>
      <c r="P96" s="81">
        <v>33.5</v>
      </c>
      <c r="Q96" s="81">
        <v>1</v>
      </c>
      <c r="R96" s="81" t="s">
        <v>110</v>
      </c>
      <c r="S96" s="81" t="s">
        <v>110</v>
      </c>
      <c r="T96" s="81" t="s">
        <v>110</v>
      </c>
      <c r="U96" s="81" t="s">
        <v>124</v>
      </c>
      <c r="V96" s="1"/>
      <c r="W96" s="81">
        <v>5</v>
      </c>
      <c r="X96" s="81">
        <v>9</v>
      </c>
      <c r="Y96" s="81" t="s">
        <v>110</v>
      </c>
      <c r="Z96" s="81" t="s">
        <v>111</v>
      </c>
      <c r="AA96" s="81" t="s">
        <v>110</v>
      </c>
      <c r="AB96" s="81" t="s">
        <v>111</v>
      </c>
      <c r="AC96" s="81" t="s">
        <v>111</v>
      </c>
      <c r="AD96" s="81" t="s">
        <v>111</v>
      </c>
      <c r="AE96" s="81" t="s">
        <v>111</v>
      </c>
      <c r="AF96" s="81" t="s">
        <v>111</v>
      </c>
      <c r="AG96" s="81" t="s">
        <v>142</v>
      </c>
      <c r="AH96" s="81" t="s">
        <v>111</v>
      </c>
      <c r="AI96" s="81" t="s">
        <v>125</v>
      </c>
      <c r="AJ96" s="81" t="s">
        <v>111</v>
      </c>
      <c r="AK96" s="81">
        <v>29</v>
      </c>
      <c r="AL96" s="81" t="s">
        <v>111</v>
      </c>
      <c r="AM96" s="81" t="s">
        <v>111</v>
      </c>
      <c r="AN96" s="81" t="s">
        <v>247</v>
      </c>
      <c r="AO96" s="81" t="s">
        <v>111</v>
      </c>
      <c r="AP96" s="81"/>
      <c r="AQ96" s="101" t="s">
        <v>110</v>
      </c>
      <c r="AR96" s="1" t="s">
        <v>131</v>
      </c>
      <c r="AS96" s="1"/>
      <c r="AT96" s="83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5"/>
      <c r="EZ96" s="45"/>
      <c r="FA96" s="45"/>
      <c r="FB96" s="45"/>
      <c r="FC96" s="45"/>
      <c r="FD96" s="45"/>
      <c r="FE96" s="45"/>
      <c r="FF96" s="45"/>
      <c r="FG96" s="45"/>
      <c r="FH96" s="45"/>
      <c r="FI96" s="45"/>
      <c r="FJ96" s="45"/>
      <c r="FK96" s="45"/>
      <c r="FL96" s="45"/>
      <c r="FM96" s="45"/>
      <c r="FN96" s="45"/>
      <c r="FO96" s="45"/>
      <c r="FP96" s="45"/>
      <c r="FQ96" s="45"/>
      <c r="FR96" s="45"/>
      <c r="FS96" s="45"/>
      <c r="FT96" s="45"/>
      <c r="FU96" s="45"/>
      <c r="FV96" s="45"/>
      <c r="FW96" s="45"/>
      <c r="FX96" s="45"/>
      <c r="FY96" s="45"/>
      <c r="FZ96" s="45"/>
      <c r="GA96" s="45"/>
      <c r="GB96" s="45"/>
      <c r="GC96" s="45"/>
      <c r="GD96" s="45"/>
      <c r="GE96" s="45"/>
      <c r="GF96" s="45"/>
      <c r="GG96" s="45"/>
      <c r="GH96" s="45"/>
      <c r="GI96" s="45"/>
      <c r="GJ96" s="45"/>
      <c r="GK96" s="45"/>
      <c r="GL96" s="45"/>
      <c r="GM96" s="45"/>
      <c r="GN96" s="45"/>
      <c r="GO96" s="45"/>
      <c r="GP96" s="45"/>
      <c r="GQ96" s="45"/>
      <c r="GR96" s="45"/>
      <c r="GS96" s="45"/>
      <c r="GT96" s="45"/>
      <c r="GU96" s="45"/>
      <c r="GV96" s="45"/>
      <c r="GW96" s="45"/>
      <c r="GX96" s="45"/>
      <c r="GY96" s="45"/>
      <c r="GZ96" s="45"/>
      <c r="HA96" s="45"/>
      <c r="HB96" s="45"/>
      <c r="HC96" s="45"/>
      <c r="HD96" s="45"/>
      <c r="HE96" s="45"/>
      <c r="HF96" s="45"/>
      <c r="HG96" s="45"/>
      <c r="HH96" s="45"/>
      <c r="HI96" s="45"/>
      <c r="HJ96" s="45"/>
      <c r="HK96" s="45"/>
      <c r="HL96" s="45"/>
      <c r="HM96" s="45"/>
      <c r="HN96" s="45"/>
      <c r="HO96" s="45"/>
      <c r="HP96" s="45"/>
      <c r="HQ96" s="45"/>
      <c r="HR96" s="45"/>
      <c r="HS96" s="45"/>
      <c r="HT96" s="45"/>
      <c r="HU96" s="45"/>
      <c r="HV96" s="45"/>
      <c r="HW96" s="45"/>
      <c r="HX96" s="45"/>
      <c r="HY96" s="45"/>
      <c r="HZ96" s="45"/>
      <c r="IA96" s="45"/>
      <c r="IB96" s="45"/>
      <c r="IC96" s="45"/>
      <c r="ID96" s="45"/>
      <c r="IE96" s="45"/>
      <c r="IF96" s="45"/>
      <c r="IG96" s="45"/>
      <c r="IH96" s="45"/>
      <c r="II96" s="45"/>
      <c r="IJ96" s="45"/>
      <c r="IK96" s="45"/>
      <c r="IL96" s="45"/>
      <c r="IM96" s="45"/>
      <c r="IN96" s="45"/>
      <c r="IO96" s="45"/>
      <c r="IP96" s="45"/>
      <c r="IQ96" s="45"/>
      <c r="IR96" s="45"/>
      <c r="IS96" s="45"/>
      <c r="IT96" s="45"/>
      <c r="IU96" s="45"/>
      <c r="IV96" s="45"/>
      <c r="IW96" s="45"/>
      <c r="IX96" s="45"/>
      <c r="IY96" s="45"/>
      <c r="IZ96" s="45"/>
      <c r="JA96" s="45"/>
      <c r="JB96" s="45"/>
      <c r="JC96" s="45"/>
      <c r="JD96" s="45"/>
      <c r="JE96" s="45"/>
      <c r="JF96" s="45"/>
      <c r="JG96" s="45"/>
      <c r="JH96" s="45"/>
      <c r="JI96" s="45"/>
      <c r="JJ96" s="45"/>
      <c r="JK96" s="45"/>
      <c r="JL96" s="45"/>
      <c r="JM96" s="45"/>
      <c r="JN96" s="45"/>
      <c r="JO96" s="45"/>
      <c r="JP96" s="45"/>
      <c r="JQ96" s="45"/>
      <c r="JR96" s="45"/>
      <c r="JS96" s="45"/>
      <c r="JT96" s="45"/>
      <c r="JU96" s="45"/>
      <c r="JV96" s="45"/>
      <c r="JW96" s="45"/>
      <c r="JX96" s="45"/>
      <c r="JY96" s="45"/>
      <c r="JZ96" s="45"/>
      <c r="KA96" s="45"/>
      <c r="KB96" s="45"/>
      <c r="KC96" s="45"/>
      <c r="KD96" s="45"/>
      <c r="KE96" s="45"/>
      <c r="KF96" s="45"/>
      <c r="KG96" s="45"/>
      <c r="KH96" s="45"/>
      <c r="KI96" s="45"/>
      <c r="KJ96" s="45"/>
      <c r="KK96" s="45"/>
      <c r="KL96" s="45"/>
      <c r="KM96" s="45"/>
      <c r="KN96" s="45"/>
      <c r="KO96" s="45"/>
      <c r="KP96" s="45"/>
      <c r="KQ96" s="45"/>
      <c r="KR96" s="45"/>
      <c r="KS96" s="45"/>
      <c r="KT96" s="45"/>
      <c r="KU96" s="45"/>
      <c r="KV96" s="45"/>
      <c r="KW96" s="45"/>
      <c r="KX96" s="45"/>
      <c r="KY96" s="45"/>
      <c r="KZ96" s="45"/>
      <c r="LA96" s="45"/>
      <c r="LB96" s="45"/>
      <c r="LC96" s="45"/>
      <c r="LD96" s="45"/>
      <c r="LE96" s="45"/>
      <c r="LF96" s="45"/>
      <c r="LG96" s="45"/>
      <c r="LH96" s="45"/>
      <c r="LI96" s="45"/>
      <c r="LJ96" s="45"/>
      <c r="LK96" s="45"/>
      <c r="LL96" s="45"/>
    </row>
    <row r="97" spans="1:324" x14ac:dyDescent="0.25">
      <c r="A97" s="1">
        <v>94</v>
      </c>
      <c r="B97" s="79">
        <v>45922</v>
      </c>
      <c r="C97" s="80">
        <v>0.42986111111111108</v>
      </c>
      <c r="D97" s="81"/>
      <c r="E97" s="81"/>
      <c r="F97" s="81"/>
      <c r="G97" s="81" t="s">
        <v>195</v>
      </c>
      <c r="H97" s="81" t="s">
        <v>195</v>
      </c>
      <c r="I97" s="79"/>
      <c r="J97" s="81" t="s">
        <v>129</v>
      </c>
      <c r="K97" s="81">
        <v>31</v>
      </c>
      <c r="L97" s="81">
        <v>0</v>
      </c>
      <c r="M97" s="81" t="s">
        <v>123</v>
      </c>
      <c r="N97" s="81">
        <v>1350</v>
      </c>
      <c r="O97" s="81">
        <v>39</v>
      </c>
      <c r="P97" s="81">
        <v>27.5</v>
      </c>
      <c r="Q97" s="81">
        <v>2</v>
      </c>
      <c r="R97" s="81" t="s">
        <v>111</v>
      </c>
      <c r="S97" s="81" t="s">
        <v>110</v>
      </c>
      <c r="T97" s="81" t="s">
        <v>110</v>
      </c>
      <c r="U97" s="81" t="s">
        <v>169</v>
      </c>
      <c r="V97" s="1"/>
      <c r="W97" s="81">
        <v>8</v>
      </c>
      <c r="X97" s="81">
        <v>9</v>
      </c>
      <c r="Y97" s="81" t="s">
        <v>111</v>
      </c>
      <c r="Z97" s="81" t="s">
        <v>111</v>
      </c>
      <c r="AA97" s="81" t="s">
        <v>111</v>
      </c>
      <c r="AB97" s="81" t="s">
        <v>111</v>
      </c>
      <c r="AC97" s="81" t="s">
        <v>111</v>
      </c>
      <c r="AD97" s="81" t="s">
        <v>110</v>
      </c>
      <c r="AE97" s="81" t="s">
        <v>111</v>
      </c>
      <c r="AF97" s="81" t="s">
        <v>111</v>
      </c>
      <c r="AG97" s="81" t="s">
        <v>142</v>
      </c>
      <c r="AH97" s="81" t="s">
        <v>111</v>
      </c>
      <c r="AI97" s="81" t="s">
        <v>125</v>
      </c>
      <c r="AJ97" s="81" t="s">
        <v>111</v>
      </c>
      <c r="AK97" s="81">
        <v>29</v>
      </c>
      <c r="AL97" s="81" t="s">
        <v>111</v>
      </c>
      <c r="AM97" s="81" t="s">
        <v>111</v>
      </c>
      <c r="AN97" s="81" t="s">
        <v>248</v>
      </c>
      <c r="AO97" s="81" t="s">
        <v>111</v>
      </c>
      <c r="AP97" s="81"/>
      <c r="AQ97" s="101" t="s">
        <v>111</v>
      </c>
      <c r="AR97" s="1" t="s">
        <v>137</v>
      </c>
      <c r="AS97" s="1"/>
      <c r="AT97" s="83" t="s">
        <v>110</v>
      </c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0"/>
      <c r="CX97" s="90"/>
      <c r="CY97" s="90"/>
      <c r="CZ97" s="90"/>
      <c r="DA97" s="90"/>
      <c r="DB97" s="90"/>
      <c r="DC97" s="90"/>
      <c r="DD97" s="90"/>
      <c r="DE97" s="90"/>
      <c r="DF97" s="90"/>
      <c r="DG97" s="90"/>
      <c r="DH97" s="90"/>
      <c r="DI97" s="90"/>
      <c r="DJ97" s="90"/>
      <c r="DK97" s="90"/>
      <c r="DL97" s="90"/>
      <c r="DM97" s="90"/>
      <c r="DN97" s="90"/>
      <c r="DO97" s="90"/>
      <c r="DP97" s="90"/>
      <c r="DQ97" s="90"/>
      <c r="DR97" s="90"/>
      <c r="DS97" s="90"/>
      <c r="DT97" s="90"/>
      <c r="DU97" s="90"/>
      <c r="DV97" s="90"/>
      <c r="DW97" s="90"/>
      <c r="DX97" s="90"/>
      <c r="DY97" s="90"/>
      <c r="DZ97" s="90"/>
      <c r="EA97" s="90"/>
      <c r="EB97" s="90"/>
      <c r="EC97" s="90"/>
      <c r="ED97" s="90"/>
      <c r="EE97" s="90"/>
      <c r="EF97" s="90"/>
      <c r="EG97" s="90"/>
      <c r="EH97" s="90"/>
      <c r="EI97" s="90"/>
      <c r="EJ97" s="90"/>
      <c r="EK97" s="90"/>
      <c r="EL97" s="90"/>
      <c r="EM97" s="90"/>
      <c r="EN97" s="90"/>
      <c r="EO97" s="90"/>
      <c r="EP97" s="90"/>
      <c r="EQ97" s="90"/>
      <c r="ER97" s="90"/>
      <c r="ES97" s="90"/>
      <c r="ET97" s="90"/>
      <c r="EU97" s="90"/>
      <c r="EV97" s="90"/>
      <c r="EW97" s="90"/>
      <c r="EX97" s="90"/>
      <c r="EY97" s="90"/>
      <c r="EZ97" s="90"/>
      <c r="FA97" s="90"/>
      <c r="FB97" s="90"/>
      <c r="FC97" s="90"/>
      <c r="FD97" s="90"/>
      <c r="FE97" s="90"/>
      <c r="FF97" s="90"/>
      <c r="FG97" s="90"/>
      <c r="FH97" s="90"/>
      <c r="FI97" s="90"/>
      <c r="FJ97" s="90"/>
      <c r="FK97" s="90"/>
      <c r="FL97" s="90"/>
      <c r="FM97" s="90"/>
      <c r="FN97" s="90"/>
      <c r="FO97" s="90"/>
      <c r="FP97" s="90"/>
      <c r="FQ97" s="90"/>
      <c r="FR97" s="90"/>
      <c r="FS97" s="90"/>
      <c r="FT97" s="90"/>
      <c r="FU97" s="90"/>
      <c r="FV97" s="90"/>
      <c r="FW97" s="90"/>
      <c r="FX97" s="90"/>
      <c r="FY97" s="90"/>
      <c r="FZ97" s="90"/>
      <c r="GA97" s="90"/>
      <c r="GB97" s="90"/>
      <c r="GC97" s="90"/>
      <c r="GD97" s="90"/>
      <c r="GE97" s="90"/>
      <c r="GF97" s="90"/>
      <c r="GG97" s="90"/>
      <c r="GH97" s="90"/>
      <c r="GI97" s="90"/>
      <c r="GJ97" s="90"/>
      <c r="GK97" s="90"/>
      <c r="GL97" s="90"/>
      <c r="GM97" s="90"/>
      <c r="GN97" s="90"/>
      <c r="GO97" s="90"/>
      <c r="GP97" s="90"/>
      <c r="GQ97" s="90"/>
      <c r="GR97" s="90"/>
      <c r="GS97" s="90"/>
      <c r="GT97" s="90"/>
      <c r="GU97" s="90"/>
      <c r="GV97" s="90"/>
      <c r="GW97" s="90"/>
      <c r="GX97" s="90"/>
      <c r="GY97" s="90"/>
      <c r="GZ97" s="90"/>
      <c r="HA97" s="90"/>
      <c r="HB97" s="90"/>
      <c r="HC97" s="90"/>
      <c r="HD97" s="90"/>
      <c r="HE97" s="90"/>
      <c r="HF97" s="90"/>
      <c r="HG97" s="90"/>
      <c r="HH97" s="90"/>
      <c r="HI97" s="90"/>
      <c r="HJ97" s="90"/>
      <c r="HK97" s="90"/>
      <c r="HL97" s="90"/>
      <c r="HM97" s="90"/>
      <c r="HN97" s="90"/>
      <c r="HO97" s="90"/>
      <c r="HP97" s="90"/>
      <c r="HQ97" s="90"/>
      <c r="HR97" s="90"/>
      <c r="HS97" s="90"/>
      <c r="HT97" s="90"/>
      <c r="HU97" s="90"/>
      <c r="HV97" s="90"/>
      <c r="HW97" s="90"/>
      <c r="HX97" s="90"/>
      <c r="HY97" s="90"/>
      <c r="HZ97" s="90"/>
      <c r="IA97" s="90"/>
      <c r="IB97" s="90"/>
      <c r="IC97" s="90"/>
      <c r="ID97" s="90"/>
      <c r="IE97" s="90"/>
      <c r="IF97" s="90"/>
      <c r="IG97" s="90"/>
      <c r="IH97" s="90"/>
      <c r="II97" s="90"/>
      <c r="IJ97" s="90"/>
      <c r="IK97" s="90"/>
      <c r="IL97" s="90"/>
      <c r="IM97" s="90"/>
      <c r="IN97" s="90"/>
      <c r="IO97" s="90"/>
      <c r="IP97" s="90"/>
      <c r="IQ97" s="90"/>
      <c r="IR97" s="90"/>
      <c r="IS97" s="90"/>
      <c r="IT97" s="90"/>
      <c r="IU97" s="90"/>
      <c r="IV97" s="90"/>
      <c r="IW97" s="90"/>
      <c r="IX97" s="90"/>
      <c r="IY97" s="90"/>
      <c r="IZ97" s="90"/>
      <c r="JA97" s="90"/>
      <c r="JB97" s="90"/>
      <c r="JC97" s="90"/>
      <c r="JD97" s="90"/>
      <c r="JE97" s="90"/>
      <c r="JF97" s="90"/>
      <c r="JG97" s="90"/>
      <c r="JH97" s="90"/>
      <c r="JI97" s="90"/>
      <c r="JJ97" s="90"/>
      <c r="JK97" s="90"/>
      <c r="JL97" s="90"/>
      <c r="JM97" s="90"/>
      <c r="JN97" s="90"/>
      <c r="JO97" s="90"/>
      <c r="JP97" s="90"/>
      <c r="JQ97" s="90"/>
      <c r="JR97" s="90"/>
      <c r="JS97" s="90"/>
      <c r="JT97" s="90"/>
      <c r="JU97" s="90"/>
      <c r="JV97" s="90"/>
      <c r="JW97" s="90"/>
      <c r="JX97" s="90"/>
      <c r="JY97" s="90"/>
      <c r="JZ97" s="90"/>
      <c r="KA97" s="90"/>
      <c r="KB97" s="90"/>
      <c r="KC97" s="90"/>
      <c r="KD97" s="90"/>
      <c r="KE97" s="90"/>
      <c r="KF97" s="90"/>
      <c r="KG97" s="90"/>
      <c r="KH97" s="90"/>
      <c r="KI97" s="90"/>
      <c r="KJ97" s="90"/>
      <c r="KK97" s="90"/>
      <c r="KL97" s="90"/>
      <c r="KM97" s="90"/>
      <c r="KN97" s="90"/>
      <c r="KO97" s="90"/>
      <c r="KP97" s="90"/>
      <c r="KQ97" s="90"/>
      <c r="KR97" s="90"/>
      <c r="KS97" s="90"/>
      <c r="KT97" s="90"/>
      <c r="KU97" s="90"/>
      <c r="KV97" s="90"/>
      <c r="KW97" s="90"/>
      <c r="KX97" s="90"/>
      <c r="KY97" s="90"/>
      <c r="KZ97" s="90"/>
      <c r="LA97" s="90"/>
      <c r="LB97" s="90"/>
      <c r="LC97" s="90"/>
      <c r="LD97" s="90"/>
      <c r="LE97" s="90"/>
      <c r="LF97" s="90"/>
      <c r="LG97" s="90"/>
      <c r="LH97" s="90"/>
      <c r="LI97" s="90"/>
      <c r="LJ97" s="90"/>
      <c r="LK97" s="90"/>
      <c r="LL97" s="90"/>
    </row>
    <row r="98" spans="1:324" x14ac:dyDescent="0.25">
      <c r="A98" s="1">
        <v>95</v>
      </c>
      <c r="B98" s="79">
        <v>45922</v>
      </c>
      <c r="C98" s="80">
        <v>0.4368055555555555</v>
      </c>
      <c r="D98" s="81"/>
      <c r="E98" s="81"/>
      <c r="F98" s="81"/>
      <c r="G98" s="81" t="s">
        <v>114</v>
      </c>
      <c r="H98" s="81" t="s">
        <v>164</v>
      </c>
      <c r="I98" s="79"/>
      <c r="J98" s="81" t="s">
        <v>122</v>
      </c>
      <c r="K98" s="81">
        <v>41</v>
      </c>
      <c r="L98" s="81">
        <v>2</v>
      </c>
      <c r="M98" s="81" t="s">
        <v>113</v>
      </c>
      <c r="N98" s="81">
        <v>3260</v>
      </c>
      <c r="O98" s="81">
        <v>50</v>
      </c>
      <c r="P98" s="81">
        <v>34</v>
      </c>
      <c r="Q98" s="81">
        <v>4</v>
      </c>
      <c r="R98" s="81" t="s">
        <v>110</v>
      </c>
      <c r="S98" s="81" t="s">
        <v>110</v>
      </c>
      <c r="T98" s="81" t="s">
        <v>110</v>
      </c>
      <c r="U98" s="81" t="s">
        <v>174</v>
      </c>
      <c r="V98" s="1"/>
      <c r="W98" s="81">
        <v>9</v>
      </c>
      <c r="X98" s="81">
        <v>9</v>
      </c>
      <c r="Y98" s="81" t="s">
        <v>111</v>
      </c>
      <c r="Z98" s="81" t="s">
        <v>111</v>
      </c>
      <c r="AA98" s="81" t="s">
        <v>111</v>
      </c>
      <c r="AB98" s="81" t="s">
        <v>111</v>
      </c>
      <c r="AC98" s="81" t="s">
        <v>111</v>
      </c>
      <c r="AD98" s="81" t="s">
        <v>110</v>
      </c>
      <c r="AE98" s="81" t="s">
        <v>111</v>
      </c>
      <c r="AF98" s="81" t="s">
        <v>111</v>
      </c>
      <c r="AG98" s="81" t="s">
        <v>142</v>
      </c>
      <c r="AH98" s="81" t="s">
        <v>111</v>
      </c>
      <c r="AI98" s="81" t="s">
        <v>125</v>
      </c>
      <c r="AJ98" s="81" t="s">
        <v>111</v>
      </c>
      <c r="AK98" s="81">
        <v>21</v>
      </c>
      <c r="AL98" s="81" t="s">
        <v>110</v>
      </c>
      <c r="AM98" s="81" t="s">
        <v>111</v>
      </c>
      <c r="AN98" s="81" t="s">
        <v>250</v>
      </c>
      <c r="AO98" s="81" t="s">
        <v>111</v>
      </c>
      <c r="AP98" s="81"/>
      <c r="AQ98" s="101" t="s">
        <v>111</v>
      </c>
      <c r="AR98" s="1" t="s">
        <v>112</v>
      </c>
      <c r="AS98" s="1"/>
      <c r="AT98" s="83"/>
      <c r="AV98" s="141"/>
      <c r="AW98" s="141"/>
      <c r="AX98" s="141"/>
      <c r="AY98" s="141"/>
      <c r="AZ98" s="141"/>
      <c r="BA98" s="142"/>
      <c r="BB98" s="141"/>
      <c r="BC98" s="141"/>
      <c r="BD98" s="141"/>
      <c r="BE98" s="141"/>
      <c r="BF98" s="141"/>
      <c r="BG98" s="141"/>
      <c r="BH98" s="141"/>
      <c r="BI98" s="141"/>
      <c r="BJ98" s="141"/>
      <c r="BK98" s="141"/>
      <c r="BL98" s="141"/>
      <c r="BM98" s="141"/>
      <c r="BN98" s="135"/>
      <c r="BO98" s="141"/>
      <c r="BP98" s="141"/>
      <c r="BQ98" s="141"/>
      <c r="BR98" s="141"/>
      <c r="BS98" s="141"/>
      <c r="BT98" s="141"/>
      <c r="BU98" s="141"/>
      <c r="BV98" s="141"/>
      <c r="BW98" s="141"/>
      <c r="BX98" s="141"/>
      <c r="BY98" s="141"/>
      <c r="BZ98" s="141"/>
      <c r="CA98" s="141"/>
      <c r="CB98" s="141"/>
      <c r="CC98" s="141"/>
      <c r="CD98" s="141"/>
      <c r="CE98" s="141"/>
      <c r="CF98" s="141"/>
      <c r="CG98" s="141"/>
      <c r="CH98" s="141"/>
      <c r="CI98" s="143"/>
      <c r="CJ98" s="135"/>
      <c r="CK98" s="135"/>
      <c r="CL98" s="13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5"/>
      <c r="EI98" s="45"/>
      <c r="EJ98" s="45"/>
      <c r="EK98" s="45"/>
      <c r="EL98" s="45"/>
      <c r="EM98" s="45"/>
      <c r="EN98" s="45"/>
      <c r="EO98" s="45"/>
      <c r="EP98" s="45"/>
      <c r="EQ98" s="45"/>
      <c r="ER98" s="45"/>
      <c r="ES98" s="45"/>
      <c r="ET98" s="45"/>
      <c r="EU98" s="45"/>
      <c r="EV98" s="45"/>
      <c r="EW98" s="45"/>
      <c r="EX98" s="45"/>
      <c r="EY98" s="45"/>
      <c r="EZ98" s="45"/>
      <c r="FA98" s="45"/>
      <c r="FB98" s="45"/>
      <c r="FC98" s="45"/>
      <c r="FD98" s="45"/>
      <c r="FE98" s="45"/>
      <c r="FF98" s="45"/>
      <c r="FG98" s="45"/>
      <c r="FH98" s="45"/>
      <c r="FI98" s="45"/>
      <c r="FJ98" s="45"/>
      <c r="FK98" s="45"/>
      <c r="FL98" s="45"/>
      <c r="FM98" s="45"/>
      <c r="FN98" s="45"/>
      <c r="FO98" s="45"/>
      <c r="FP98" s="45"/>
      <c r="FQ98" s="45"/>
      <c r="FR98" s="45"/>
      <c r="FS98" s="45"/>
      <c r="FT98" s="45"/>
      <c r="FU98" s="45"/>
      <c r="FV98" s="45"/>
      <c r="FW98" s="45"/>
      <c r="FX98" s="45"/>
      <c r="FY98" s="45"/>
      <c r="FZ98" s="45"/>
      <c r="GA98" s="45"/>
      <c r="GB98" s="45"/>
      <c r="GC98" s="45"/>
      <c r="GD98" s="45"/>
      <c r="GE98" s="45"/>
      <c r="GF98" s="45"/>
      <c r="GG98" s="45"/>
      <c r="GH98" s="45"/>
      <c r="GI98" s="45"/>
      <c r="GJ98" s="45"/>
      <c r="GK98" s="45"/>
      <c r="GL98" s="45"/>
      <c r="GM98" s="45"/>
      <c r="GN98" s="45"/>
      <c r="GO98" s="45"/>
      <c r="GP98" s="45"/>
      <c r="GQ98" s="45"/>
      <c r="GR98" s="45"/>
      <c r="GS98" s="45"/>
      <c r="GT98" s="45"/>
      <c r="GU98" s="45"/>
      <c r="GV98" s="45"/>
      <c r="GW98" s="45"/>
      <c r="GX98" s="45"/>
      <c r="GY98" s="45"/>
      <c r="GZ98" s="45"/>
      <c r="HA98" s="45"/>
      <c r="HB98" s="45"/>
      <c r="HC98" s="45"/>
      <c r="HD98" s="45"/>
      <c r="HE98" s="45"/>
      <c r="HF98" s="45"/>
      <c r="HG98" s="45"/>
      <c r="HH98" s="45"/>
      <c r="HI98" s="45"/>
      <c r="HJ98" s="45"/>
      <c r="HK98" s="45"/>
      <c r="HL98" s="45"/>
      <c r="HM98" s="45"/>
      <c r="HN98" s="45"/>
      <c r="HO98" s="45"/>
      <c r="HP98" s="45"/>
      <c r="HQ98" s="45"/>
      <c r="HR98" s="45"/>
      <c r="HS98" s="45"/>
      <c r="HT98" s="45"/>
      <c r="HU98" s="45"/>
      <c r="HV98" s="45"/>
      <c r="HW98" s="45"/>
      <c r="HX98" s="45"/>
      <c r="HY98" s="45"/>
      <c r="HZ98" s="45"/>
      <c r="IA98" s="45"/>
      <c r="IB98" s="45"/>
      <c r="IC98" s="45"/>
      <c r="ID98" s="45"/>
      <c r="IE98" s="45"/>
      <c r="IF98" s="45"/>
      <c r="IG98" s="45"/>
      <c r="IH98" s="45"/>
      <c r="II98" s="45"/>
      <c r="IJ98" s="45"/>
      <c r="IK98" s="45"/>
      <c r="IL98" s="45"/>
      <c r="IM98" s="45"/>
      <c r="IN98" s="45"/>
      <c r="IO98" s="45"/>
      <c r="IP98" s="45"/>
      <c r="IQ98" s="45"/>
      <c r="IR98" s="45"/>
      <c r="IS98" s="45"/>
      <c r="IT98" s="45"/>
      <c r="IU98" s="45"/>
      <c r="IV98" s="45"/>
      <c r="IW98" s="45"/>
      <c r="IX98" s="45"/>
      <c r="IY98" s="45"/>
      <c r="IZ98" s="45"/>
      <c r="JA98" s="45"/>
      <c r="JB98" s="45"/>
      <c r="JC98" s="45"/>
      <c r="JD98" s="45"/>
      <c r="JE98" s="45"/>
      <c r="JF98" s="45"/>
      <c r="JG98" s="45"/>
      <c r="JH98" s="45"/>
      <c r="JI98" s="45"/>
      <c r="JJ98" s="45"/>
      <c r="JK98" s="45"/>
      <c r="JL98" s="45"/>
      <c r="JM98" s="45"/>
      <c r="JN98" s="45"/>
      <c r="JO98" s="45"/>
      <c r="JP98" s="45"/>
      <c r="JQ98" s="45"/>
      <c r="JR98" s="45"/>
      <c r="JS98" s="45"/>
      <c r="JT98" s="45"/>
      <c r="JU98" s="45"/>
      <c r="JV98" s="45"/>
      <c r="JW98" s="45"/>
      <c r="JX98" s="45"/>
      <c r="JY98" s="45"/>
      <c r="JZ98" s="45"/>
      <c r="KA98" s="45"/>
      <c r="KB98" s="45"/>
      <c r="KC98" s="45"/>
      <c r="KD98" s="45"/>
      <c r="KE98" s="45"/>
      <c r="KF98" s="45"/>
      <c r="KG98" s="45"/>
      <c r="KH98" s="45"/>
      <c r="KI98" s="45"/>
      <c r="KJ98" s="45"/>
      <c r="KK98" s="45"/>
      <c r="KL98" s="45"/>
      <c r="KM98" s="45"/>
      <c r="KN98" s="45"/>
      <c r="KO98" s="45"/>
      <c r="KP98" s="45"/>
      <c r="KQ98" s="45"/>
      <c r="KR98" s="45"/>
      <c r="KS98" s="45"/>
      <c r="KT98" s="45"/>
      <c r="KU98" s="45"/>
      <c r="KV98" s="45"/>
      <c r="KW98" s="45"/>
      <c r="KX98" s="45"/>
      <c r="KY98" s="45"/>
      <c r="KZ98" s="45"/>
      <c r="LA98" s="45"/>
      <c r="LB98" s="45"/>
      <c r="LC98" s="45"/>
      <c r="LD98" s="45"/>
      <c r="LE98" s="45"/>
      <c r="LF98" s="45"/>
      <c r="LG98" s="45"/>
      <c r="LH98" s="45"/>
      <c r="LI98" s="45"/>
      <c r="LJ98" s="45"/>
      <c r="LK98" s="45"/>
      <c r="LL98" s="45"/>
    </row>
    <row r="99" spans="1:324" x14ac:dyDescent="0.25">
      <c r="A99" s="1">
        <v>96</v>
      </c>
      <c r="B99" s="79">
        <v>45922</v>
      </c>
      <c r="C99" s="80">
        <v>0.51041666666666663</v>
      </c>
      <c r="D99" s="81"/>
      <c r="E99" s="81"/>
      <c r="F99" s="81"/>
      <c r="G99" s="81" t="s">
        <v>168</v>
      </c>
      <c r="H99" s="81" t="s">
        <v>173</v>
      </c>
      <c r="I99" s="79"/>
      <c r="J99" s="81" t="s">
        <v>129</v>
      </c>
      <c r="K99" s="81">
        <v>38</v>
      </c>
      <c r="L99" s="81">
        <v>1</v>
      </c>
      <c r="M99" s="81" t="s">
        <v>113</v>
      </c>
      <c r="N99" s="81">
        <v>3180</v>
      </c>
      <c r="O99" s="81">
        <v>48</v>
      </c>
      <c r="P99" s="81">
        <v>34.5</v>
      </c>
      <c r="Q99" s="81">
        <v>4</v>
      </c>
      <c r="R99" s="81" t="s">
        <v>110</v>
      </c>
      <c r="S99" s="81" t="s">
        <v>110</v>
      </c>
      <c r="T99" s="81" t="s">
        <v>110</v>
      </c>
      <c r="U99" s="81" t="s">
        <v>169</v>
      </c>
      <c r="V99" s="1"/>
      <c r="W99" s="81">
        <v>8</v>
      </c>
      <c r="X99" s="81">
        <v>9</v>
      </c>
      <c r="Y99" s="81" t="s">
        <v>111</v>
      </c>
      <c r="Z99" s="81" t="s">
        <v>111</v>
      </c>
      <c r="AA99" s="81" t="s">
        <v>111</v>
      </c>
      <c r="AB99" s="81" t="s">
        <v>110</v>
      </c>
      <c r="AC99" s="81" t="s">
        <v>111</v>
      </c>
      <c r="AD99" s="81" t="s">
        <v>110</v>
      </c>
      <c r="AE99" s="81" t="s">
        <v>111</v>
      </c>
      <c r="AF99" s="81" t="s">
        <v>111</v>
      </c>
      <c r="AG99" s="81" t="s">
        <v>142</v>
      </c>
      <c r="AH99" s="81" t="s">
        <v>111</v>
      </c>
      <c r="AI99" s="81" t="s">
        <v>125</v>
      </c>
      <c r="AJ99" s="81" t="s">
        <v>111</v>
      </c>
      <c r="AK99" s="81">
        <v>32</v>
      </c>
      <c r="AL99" s="81" t="s">
        <v>111</v>
      </c>
      <c r="AM99" s="81" t="s">
        <v>111</v>
      </c>
      <c r="AN99" s="81" t="s">
        <v>249</v>
      </c>
      <c r="AO99" s="81" t="s">
        <v>111</v>
      </c>
      <c r="AP99" s="81"/>
      <c r="AQ99" s="101" t="s">
        <v>111</v>
      </c>
      <c r="AR99" s="1" t="s">
        <v>131</v>
      </c>
      <c r="AS99" s="1"/>
      <c r="AT99" s="83" t="s">
        <v>110</v>
      </c>
      <c r="AV99" s="100"/>
      <c r="AW99" s="100"/>
      <c r="AX99" s="100"/>
      <c r="AY99" s="100"/>
      <c r="AZ99" s="100"/>
      <c r="BA99" s="100"/>
      <c r="BB99" s="100"/>
      <c r="BC99" s="100"/>
      <c r="BD99" s="100"/>
      <c r="BE99" s="100"/>
      <c r="BF99" s="100"/>
      <c r="BG99" s="100"/>
      <c r="BH99" s="100"/>
      <c r="BI99" s="100"/>
      <c r="BJ99" s="100"/>
      <c r="BK99" s="100"/>
      <c r="BL99" s="100"/>
      <c r="BM99" s="100"/>
      <c r="BN99" s="100"/>
      <c r="BO99" s="100"/>
      <c r="BP99" s="100"/>
      <c r="BQ99" s="100"/>
      <c r="BR99" s="100"/>
      <c r="BS99" s="100"/>
      <c r="BT99" s="100"/>
      <c r="BU99" s="100"/>
      <c r="BV99" s="100"/>
      <c r="BW99" s="100"/>
      <c r="BX99" s="100"/>
      <c r="BY99" s="100"/>
      <c r="BZ99" s="100"/>
      <c r="CA99" s="100"/>
      <c r="CB99" s="100"/>
      <c r="CC99" s="100"/>
      <c r="CD99" s="100"/>
      <c r="CE99" s="100"/>
      <c r="CF99" s="100"/>
      <c r="CG99" s="100"/>
      <c r="CH99" s="100"/>
      <c r="CI99" s="100"/>
      <c r="CJ99" s="100"/>
      <c r="CK99" s="100"/>
      <c r="CL99" s="100"/>
      <c r="CM99" s="100"/>
      <c r="CN99" s="100"/>
      <c r="CO99" s="100"/>
      <c r="CP99" s="100"/>
      <c r="CQ99" s="100"/>
      <c r="CR99" s="100"/>
      <c r="CS99" s="100"/>
      <c r="CT99" s="100"/>
      <c r="CU99" s="100"/>
      <c r="CV99" s="100"/>
      <c r="CW99" s="100"/>
      <c r="CX99" s="100"/>
      <c r="CY99" s="100"/>
      <c r="CZ99" s="100"/>
      <c r="DA99" s="100"/>
      <c r="DB99" s="100"/>
      <c r="DC99" s="100"/>
      <c r="DD99" s="100"/>
      <c r="DE99" s="100"/>
      <c r="DF99" s="100"/>
      <c r="DG99" s="100"/>
      <c r="DH99" s="100"/>
      <c r="DI99" s="100"/>
      <c r="DJ99" s="100"/>
      <c r="DK99" s="100"/>
      <c r="DL99" s="100"/>
      <c r="DM99" s="100"/>
      <c r="DN99" s="100"/>
      <c r="DO99" s="100"/>
      <c r="DP99" s="100"/>
      <c r="DQ99" s="100"/>
      <c r="DR99" s="100"/>
      <c r="DS99" s="100"/>
      <c r="DT99" s="100"/>
      <c r="DU99" s="100"/>
      <c r="DV99" s="100"/>
      <c r="DW99" s="100"/>
      <c r="DX99" s="100"/>
      <c r="DY99" s="100"/>
      <c r="DZ99" s="100"/>
      <c r="EA99" s="100"/>
      <c r="EB99" s="100"/>
      <c r="EC99" s="100"/>
      <c r="ED99" s="100"/>
      <c r="EE99" s="100"/>
      <c r="EF99" s="100"/>
      <c r="EG99" s="100"/>
      <c r="EH99" s="100"/>
      <c r="EI99" s="100"/>
      <c r="EJ99" s="100"/>
      <c r="EK99" s="100"/>
      <c r="EL99" s="100"/>
      <c r="EM99" s="100"/>
      <c r="EN99" s="100"/>
      <c r="EO99" s="100"/>
      <c r="EP99" s="100"/>
      <c r="EQ99" s="100"/>
      <c r="ER99" s="100"/>
      <c r="ES99" s="100"/>
      <c r="ET99" s="100"/>
      <c r="EU99" s="100"/>
      <c r="EV99" s="100"/>
      <c r="EW99" s="100"/>
      <c r="EX99" s="100"/>
      <c r="EY99" s="100"/>
      <c r="EZ99" s="100"/>
      <c r="FA99" s="100"/>
      <c r="FB99" s="100"/>
      <c r="FC99" s="100"/>
      <c r="FD99" s="100"/>
      <c r="FE99" s="100"/>
      <c r="FF99" s="100"/>
      <c r="FG99" s="100"/>
      <c r="FH99" s="100"/>
      <c r="FI99" s="100"/>
      <c r="FJ99" s="100"/>
      <c r="FK99" s="100"/>
      <c r="FL99" s="100"/>
      <c r="FM99" s="100"/>
      <c r="FN99" s="100"/>
      <c r="FO99" s="100"/>
      <c r="FP99" s="100"/>
      <c r="FQ99" s="100"/>
      <c r="FR99" s="100"/>
      <c r="FS99" s="100"/>
      <c r="FT99" s="100"/>
      <c r="FU99" s="100"/>
      <c r="FV99" s="100"/>
      <c r="FW99" s="100"/>
      <c r="FX99" s="100"/>
      <c r="FY99" s="100"/>
      <c r="FZ99" s="100"/>
      <c r="GA99" s="100"/>
      <c r="GB99" s="100"/>
      <c r="GC99" s="100"/>
      <c r="GD99" s="100"/>
      <c r="GE99" s="100"/>
      <c r="GF99" s="100"/>
      <c r="GG99" s="100"/>
      <c r="GH99" s="100"/>
      <c r="GI99" s="100"/>
      <c r="GJ99" s="100"/>
      <c r="GK99" s="100"/>
      <c r="GL99" s="100"/>
      <c r="GM99" s="100"/>
      <c r="GN99" s="100"/>
      <c r="GO99" s="100"/>
      <c r="GP99" s="100"/>
      <c r="GQ99" s="100"/>
      <c r="GR99" s="100"/>
      <c r="GS99" s="100"/>
      <c r="GT99" s="100"/>
      <c r="GU99" s="100"/>
      <c r="GV99" s="100"/>
      <c r="GW99" s="100"/>
      <c r="GX99" s="100"/>
      <c r="GY99" s="100"/>
      <c r="GZ99" s="100"/>
      <c r="HA99" s="100"/>
      <c r="HB99" s="100"/>
      <c r="HC99" s="100"/>
      <c r="HD99" s="100"/>
      <c r="HE99" s="100"/>
      <c r="HF99" s="100"/>
      <c r="HG99" s="100"/>
      <c r="HH99" s="100"/>
      <c r="HI99" s="100"/>
      <c r="HJ99" s="100"/>
      <c r="HK99" s="100"/>
      <c r="HL99" s="100"/>
      <c r="HM99" s="100"/>
      <c r="HN99" s="100"/>
      <c r="HO99" s="100"/>
      <c r="HP99" s="100"/>
      <c r="HQ99" s="100"/>
      <c r="HR99" s="100"/>
      <c r="HS99" s="100"/>
      <c r="HT99" s="100"/>
      <c r="HU99" s="100"/>
      <c r="HV99" s="100"/>
      <c r="HW99" s="100"/>
      <c r="HX99" s="100"/>
      <c r="HY99" s="100"/>
      <c r="HZ99" s="100"/>
      <c r="IA99" s="100"/>
      <c r="IB99" s="100"/>
      <c r="IC99" s="100"/>
      <c r="ID99" s="100"/>
      <c r="IE99" s="100"/>
      <c r="IF99" s="100"/>
      <c r="IG99" s="100"/>
      <c r="IH99" s="100"/>
      <c r="II99" s="100"/>
      <c r="IJ99" s="100"/>
      <c r="IK99" s="100"/>
      <c r="IL99" s="100"/>
      <c r="IM99" s="100"/>
      <c r="IN99" s="100"/>
      <c r="IO99" s="100"/>
      <c r="IP99" s="100"/>
      <c r="IQ99" s="100"/>
      <c r="IR99" s="100"/>
      <c r="IS99" s="100"/>
      <c r="IT99" s="100"/>
      <c r="IU99" s="100"/>
      <c r="IV99" s="100"/>
      <c r="IW99" s="100"/>
      <c r="IX99" s="100"/>
      <c r="IY99" s="100"/>
      <c r="IZ99" s="100"/>
      <c r="JA99" s="100"/>
      <c r="JB99" s="100"/>
      <c r="JC99" s="100"/>
      <c r="JD99" s="100"/>
      <c r="JE99" s="100"/>
      <c r="JF99" s="100"/>
      <c r="JG99" s="100"/>
      <c r="JH99" s="100"/>
      <c r="JI99" s="100"/>
      <c r="JJ99" s="100"/>
      <c r="JK99" s="100"/>
      <c r="JL99" s="100"/>
      <c r="JM99" s="100"/>
      <c r="JN99" s="100"/>
      <c r="JO99" s="100"/>
      <c r="JP99" s="100"/>
      <c r="JQ99" s="100"/>
      <c r="JR99" s="100"/>
      <c r="JS99" s="100"/>
      <c r="JT99" s="100"/>
      <c r="JU99" s="100"/>
      <c r="JV99" s="100"/>
      <c r="JW99" s="100"/>
      <c r="JX99" s="100"/>
      <c r="JY99" s="100"/>
      <c r="JZ99" s="100"/>
      <c r="KA99" s="100"/>
      <c r="KB99" s="100"/>
      <c r="KC99" s="100"/>
      <c r="KD99" s="100"/>
      <c r="KE99" s="100"/>
      <c r="KF99" s="100"/>
      <c r="KG99" s="100"/>
      <c r="KH99" s="100"/>
      <c r="KI99" s="100"/>
      <c r="KJ99" s="100"/>
      <c r="KK99" s="100"/>
      <c r="KL99" s="100"/>
      <c r="KM99" s="100"/>
      <c r="KN99" s="100"/>
      <c r="KO99" s="100"/>
      <c r="KP99" s="100"/>
      <c r="KQ99" s="100"/>
      <c r="KR99" s="100"/>
      <c r="KS99" s="100"/>
      <c r="KT99" s="100"/>
      <c r="KU99" s="100"/>
      <c r="KV99" s="100"/>
      <c r="KW99" s="100"/>
      <c r="KX99" s="100"/>
      <c r="KY99" s="100"/>
      <c r="KZ99" s="100"/>
      <c r="LA99" s="100"/>
      <c r="LB99" s="100"/>
      <c r="LC99" s="100"/>
      <c r="LD99" s="100"/>
      <c r="LE99" s="100"/>
      <c r="LF99" s="100"/>
      <c r="LG99" s="100"/>
      <c r="LH99" s="100"/>
      <c r="LI99" s="100"/>
      <c r="LJ99" s="100"/>
      <c r="LK99" s="100"/>
      <c r="LL99" s="100"/>
    </row>
    <row r="100" spans="1:324" x14ac:dyDescent="0.25">
      <c r="A100" s="1">
        <v>97</v>
      </c>
      <c r="B100" s="79">
        <v>45922</v>
      </c>
      <c r="C100" s="80">
        <v>0.57916666666666672</v>
      </c>
      <c r="D100" s="79"/>
      <c r="E100" s="80"/>
      <c r="F100" s="81"/>
      <c r="G100" s="81" t="s">
        <v>114</v>
      </c>
      <c r="H100" s="81" t="s">
        <v>177</v>
      </c>
      <c r="I100" s="79"/>
      <c r="J100" s="81" t="s">
        <v>127</v>
      </c>
      <c r="K100" s="81">
        <v>40</v>
      </c>
      <c r="L100" s="81">
        <v>3</v>
      </c>
      <c r="M100" s="81" t="s">
        <v>123</v>
      </c>
      <c r="N100" s="81">
        <v>4130</v>
      </c>
      <c r="O100" s="81">
        <v>50</v>
      </c>
      <c r="P100" s="81">
        <v>35</v>
      </c>
      <c r="Q100" s="81">
        <v>4</v>
      </c>
      <c r="R100" s="81" t="s">
        <v>110</v>
      </c>
      <c r="S100" s="81" t="s">
        <v>110</v>
      </c>
      <c r="T100" s="81" t="s">
        <v>110</v>
      </c>
      <c r="U100" s="81" t="s">
        <v>169</v>
      </c>
      <c r="V100" s="1"/>
      <c r="W100" s="81">
        <v>8</v>
      </c>
      <c r="X100" s="81">
        <v>9</v>
      </c>
      <c r="Y100" s="81" t="s">
        <v>110</v>
      </c>
      <c r="Z100" s="81" t="s">
        <v>111</v>
      </c>
      <c r="AA100" s="81" t="s">
        <v>111</v>
      </c>
      <c r="AB100" s="81" t="s">
        <v>110</v>
      </c>
      <c r="AC100" s="81" t="s">
        <v>111</v>
      </c>
      <c r="AD100" s="81" t="s">
        <v>110</v>
      </c>
      <c r="AE100" s="81" t="s">
        <v>111</v>
      </c>
      <c r="AF100" s="81" t="s">
        <v>111</v>
      </c>
      <c r="AG100" s="81" t="s">
        <v>142</v>
      </c>
      <c r="AH100" s="81" t="s">
        <v>111</v>
      </c>
      <c r="AI100" s="81" t="s">
        <v>125</v>
      </c>
      <c r="AJ100" s="81" t="s">
        <v>111</v>
      </c>
      <c r="AK100" s="81">
        <v>25</v>
      </c>
      <c r="AL100" s="81" t="s">
        <v>110</v>
      </c>
      <c r="AM100" s="81" t="s">
        <v>111</v>
      </c>
      <c r="AN100" s="81" t="s">
        <v>251</v>
      </c>
      <c r="AO100" s="81" t="s">
        <v>111</v>
      </c>
      <c r="AP100" s="81"/>
      <c r="AQ100" s="101" t="s">
        <v>111</v>
      </c>
      <c r="AR100" s="1" t="s">
        <v>131</v>
      </c>
      <c r="AS100" s="1"/>
      <c r="AT100" s="83" t="s">
        <v>110</v>
      </c>
    </row>
    <row r="101" spans="1:324" x14ac:dyDescent="0.25">
      <c r="A101" s="1">
        <v>98</v>
      </c>
      <c r="B101" s="79">
        <v>45922</v>
      </c>
      <c r="C101" s="80">
        <v>0.87291666666666667</v>
      </c>
      <c r="D101" s="79"/>
      <c r="E101" s="80"/>
      <c r="F101" s="81"/>
      <c r="G101" s="81" t="s">
        <v>114</v>
      </c>
      <c r="H101" s="81" t="s">
        <v>149</v>
      </c>
      <c r="I101" s="79"/>
      <c r="J101" s="81" t="s">
        <v>127</v>
      </c>
      <c r="K101" s="81">
        <v>37</v>
      </c>
      <c r="L101" s="81">
        <v>3</v>
      </c>
      <c r="M101" s="81" t="s">
        <v>113</v>
      </c>
      <c r="N101" s="81">
        <v>3420</v>
      </c>
      <c r="O101" s="81">
        <v>50</v>
      </c>
      <c r="P101" s="81">
        <v>35</v>
      </c>
      <c r="Q101" s="81">
        <v>4</v>
      </c>
      <c r="R101" s="81" t="s">
        <v>110</v>
      </c>
      <c r="S101" s="81" t="s">
        <v>110</v>
      </c>
      <c r="T101" s="81" t="s">
        <v>110</v>
      </c>
      <c r="U101" s="81" t="s">
        <v>132</v>
      </c>
      <c r="V101" s="1"/>
      <c r="W101" s="81">
        <v>9</v>
      </c>
      <c r="X101" s="81">
        <v>10</v>
      </c>
      <c r="Y101" s="81" t="s">
        <v>111</v>
      </c>
      <c r="Z101" s="81" t="s">
        <v>111</v>
      </c>
      <c r="AA101" s="81" t="s">
        <v>111</v>
      </c>
      <c r="AB101" s="81" t="s">
        <v>110</v>
      </c>
      <c r="AC101" s="81" t="s">
        <v>111</v>
      </c>
      <c r="AD101" s="81" t="s">
        <v>110</v>
      </c>
      <c r="AE101" s="81" t="s">
        <v>111</v>
      </c>
      <c r="AF101" s="81" t="s">
        <v>111</v>
      </c>
      <c r="AG101" s="81" t="s">
        <v>142</v>
      </c>
      <c r="AH101" s="81" t="s">
        <v>111</v>
      </c>
      <c r="AI101" s="81" t="s">
        <v>125</v>
      </c>
      <c r="AJ101" s="81" t="s">
        <v>111</v>
      </c>
      <c r="AK101" s="81">
        <v>30</v>
      </c>
      <c r="AL101" s="81" t="s">
        <v>111</v>
      </c>
      <c r="AM101" s="81" t="s">
        <v>111</v>
      </c>
      <c r="AN101" s="81" t="s">
        <v>252</v>
      </c>
      <c r="AO101" s="81" t="s">
        <v>111</v>
      </c>
      <c r="AP101" s="81"/>
      <c r="AQ101" s="101" t="s">
        <v>111</v>
      </c>
      <c r="AR101" s="1" t="s">
        <v>131</v>
      </c>
      <c r="AS101" s="1"/>
      <c r="AT101" s="83" t="s">
        <v>110</v>
      </c>
    </row>
    <row r="102" spans="1:324" x14ac:dyDescent="0.25">
      <c r="A102" s="1">
        <v>99</v>
      </c>
      <c r="B102" s="79">
        <v>45923</v>
      </c>
      <c r="C102" s="80">
        <v>0.41736111111111113</v>
      </c>
      <c r="D102" s="81"/>
      <c r="E102" s="81"/>
      <c r="F102" s="81"/>
      <c r="G102" s="81" t="s">
        <v>253</v>
      </c>
      <c r="H102" s="81" t="s">
        <v>253</v>
      </c>
      <c r="I102" s="79"/>
      <c r="J102" s="81" t="s">
        <v>129</v>
      </c>
      <c r="K102" s="81">
        <v>38</v>
      </c>
      <c r="L102" s="81">
        <v>0</v>
      </c>
      <c r="M102" s="81" t="s">
        <v>123</v>
      </c>
      <c r="N102" s="81">
        <v>3230</v>
      </c>
      <c r="O102" s="81">
        <v>50</v>
      </c>
      <c r="P102" s="81">
        <v>34</v>
      </c>
      <c r="Q102" s="81">
        <v>4</v>
      </c>
      <c r="R102" s="81" t="s">
        <v>110</v>
      </c>
      <c r="S102" s="81" t="s">
        <v>110</v>
      </c>
      <c r="T102" s="81" t="s">
        <v>110</v>
      </c>
      <c r="U102" s="81" t="s">
        <v>130</v>
      </c>
      <c r="V102" s="1"/>
      <c r="W102" s="81">
        <v>9</v>
      </c>
      <c r="X102" s="81">
        <v>10</v>
      </c>
      <c r="Y102" s="81" t="s">
        <v>111</v>
      </c>
      <c r="Z102" s="81" t="s">
        <v>111</v>
      </c>
      <c r="AA102" s="81" t="s">
        <v>111</v>
      </c>
      <c r="AB102" s="81" t="s">
        <v>111</v>
      </c>
      <c r="AC102" s="81" t="s">
        <v>110</v>
      </c>
      <c r="AD102" s="81" t="s">
        <v>110</v>
      </c>
      <c r="AE102" s="81" t="s">
        <v>111</v>
      </c>
      <c r="AF102" s="81" t="s">
        <v>111</v>
      </c>
      <c r="AG102" s="81" t="s">
        <v>142</v>
      </c>
      <c r="AH102" s="81" t="s">
        <v>111</v>
      </c>
      <c r="AI102" s="81" t="s">
        <v>125</v>
      </c>
      <c r="AJ102" s="81" t="s">
        <v>111</v>
      </c>
      <c r="AK102" s="81">
        <v>29</v>
      </c>
      <c r="AL102" s="81" t="s">
        <v>110</v>
      </c>
      <c r="AM102" s="81" t="s">
        <v>111</v>
      </c>
      <c r="AN102" s="81" t="s">
        <v>254</v>
      </c>
      <c r="AO102" s="81" t="s">
        <v>111</v>
      </c>
      <c r="AP102" s="81"/>
      <c r="AQ102" s="101" t="s">
        <v>111</v>
      </c>
      <c r="AR102" s="1" t="s">
        <v>131</v>
      </c>
      <c r="AS102" s="1"/>
      <c r="AT102" s="83" t="s">
        <v>111</v>
      </c>
    </row>
    <row r="103" spans="1:324" x14ac:dyDescent="0.25">
      <c r="A103" s="1">
        <v>100</v>
      </c>
      <c r="B103" s="79">
        <v>45923</v>
      </c>
      <c r="C103" s="80">
        <v>0.4770833333333333</v>
      </c>
      <c r="D103" s="81"/>
      <c r="E103" s="81"/>
      <c r="F103" s="81"/>
      <c r="G103" s="81" t="s">
        <v>159</v>
      </c>
      <c r="H103" s="81" t="s">
        <v>159</v>
      </c>
      <c r="I103" s="79"/>
      <c r="J103" s="81" t="s">
        <v>129</v>
      </c>
      <c r="K103" s="81">
        <v>38</v>
      </c>
      <c r="L103" s="81">
        <v>1</v>
      </c>
      <c r="M103" s="81" t="s">
        <v>123</v>
      </c>
      <c r="N103" s="81">
        <v>4060</v>
      </c>
      <c r="O103" s="81">
        <v>52.5</v>
      </c>
      <c r="P103" s="81">
        <v>37</v>
      </c>
      <c r="Q103" s="81">
        <v>4</v>
      </c>
      <c r="R103" s="81" t="s">
        <v>110</v>
      </c>
      <c r="S103" s="81" t="s">
        <v>110</v>
      </c>
      <c r="T103" s="81" t="s">
        <v>110</v>
      </c>
      <c r="U103" s="81" t="s">
        <v>130</v>
      </c>
      <c r="V103" s="1"/>
      <c r="W103" s="81">
        <v>8</v>
      </c>
      <c r="X103" s="81">
        <v>9</v>
      </c>
      <c r="Y103" s="81" t="s">
        <v>111</v>
      </c>
      <c r="Z103" s="81" t="s">
        <v>111</v>
      </c>
      <c r="AA103" s="81" t="s">
        <v>111</v>
      </c>
      <c r="AB103" s="81" t="s">
        <v>110</v>
      </c>
      <c r="AC103" s="81" t="s">
        <v>110</v>
      </c>
      <c r="AD103" s="81" t="s">
        <v>110</v>
      </c>
      <c r="AE103" s="81" t="s">
        <v>111</v>
      </c>
      <c r="AF103" s="81" t="s">
        <v>111</v>
      </c>
      <c r="AG103" s="81" t="s">
        <v>142</v>
      </c>
      <c r="AH103" s="81" t="s">
        <v>111</v>
      </c>
      <c r="AI103" s="81" t="s">
        <v>125</v>
      </c>
      <c r="AJ103" s="81" t="s">
        <v>111</v>
      </c>
      <c r="AK103" s="81">
        <v>37</v>
      </c>
      <c r="AL103" s="81" t="s">
        <v>111</v>
      </c>
      <c r="AM103" s="81" t="s">
        <v>111</v>
      </c>
      <c r="AN103" s="81" t="s">
        <v>255</v>
      </c>
      <c r="AO103" s="81" t="s">
        <v>111</v>
      </c>
      <c r="AP103" s="81"/>
      <c r="AQ103" s="101" t="s">
        <v>111</v>
      </c>
      <c r="AR103" s="1" t="s">
        <v>131</v>
      </c>
      <c r="AS103" s="1"/>
      <c r="AT103" s="83" t="s">
        <v>110</v>
      </c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  <c r="BP103" s="97"/>
      <c r="BQ103" s="97"/>
      <c r="BR103" s="97"/>
      <c r="BS103" s="97"/>
      <c r="BT103" s="97"/>
      <c r="BU103" s="97"/>
      <c r="BV103" s="97"/>
      <c r="BW103" s="97"/>
      <c r="BX103" s="97"/>
      <c r="BY103" s="97"/>
      <c r="BZ103" s="97"/>
      <c r="CA103" s="97"/>
      <c r="CB103" s="97"/>
      <c r="CC103" s="97"/>
      <c r="CD103" s="97"/>
      <c r="CE103" s="97"/>
      <c r="CF103" s="97"/>
      <c r="CG103" s="97"/>
      <c r="CH103" s="97"/>
      <c r="CI103" s="97"/>
      <c r="CJ103" s="97"/>
      <c r="CK103" s="97"/>
      <c r="CL103" s="97"/>
      <c r="CM103" s="97"/>
      <c r="CN103" s="97"/>
      <c r="CO103" s="97"/>
      <c r="CP103" s="97"/>
      <c r="CQ103" s="97"/>
      <c r="CR103" s="97"/>
      <c r="CS103" s="97"/>
      <c r="CT103" s="97"/>
      <c r="CU103" s="97"/>
      <c r="CV103" s="97"/>
      <c r="CW103" s="97"/>
      <c r="CX103" s="97"/>
      <c r="CY103" s="97"/>
      <c r="CZ103" s="97"/>
      <c r="DA103" s="97"/>
      <c r="DB103" s="97"/>
      <c r="DC103" s="97"/>
      <c r="DD103" s="97"/>
      <c r="DE103" s="97"/>
      <c r="DF103" s="97"/>
      <c r="DG103" s="97"/>
      <c r="DH103" s="97"/>
      <c r="DI103" s="97"/>
      <c r="DJ103" s="97"/>
      <c r="DK103" s="97"/>
      <c r="DL103" s="97"/>
      <c r="DM103" s="97"/>
      <c r="DN103" s="97"/>
      <c r="DO103" s="97"/>
      <c r="DP103" s="97"/>
      <c r="DQ103" s="97"/>
      <c r="DR103" s="97"/>
      <c r="DS103" s="97"/>
      <c r="DT103" s="97"/>
      <c r="DU103" s="97"/>
      <c r="DV103" s="97"/>
      <c r="DW103" s="97"/>
      <c r="DX103" s="97"/>
      <c r="DY103" s="97"/>
      <c r="DZ103" s="97"/>
      <c r="EA103" s="97"/>
      <c r="EB103" s="97"/>
      <c r="EC103" s="97"/>
      <c r="ED103" s="97"/>
      <c r="EE103" s="97"/>
      <c r="EF103" s="97"/>
      <c r="EG103" s="97"/>
      <c r="EH103" s="97"/>
      <c r="EI103" s="97"/>
      <c r="EJ103" s="97"/>
      <c r="EK103" s="97"/>
      <c r="EL103" s="97"/>
      <c r="EM103" s="97"/>
      <c r="EN103" s="97"/>
      <c r="EO103" s="97"/>
      <c r="EP103" s="97"/>
      <c r="EQ103" s="97"/>
      <c r="ER103" s="97"/>
      <c r="ES103" s="97"/>
      <c r="ET103" s="97"/>
      <c r="EU103" s="97"/>
      <c r="EV103" s="97"/>
      <c r="EW103" s="97"/>
      <c r="EX103" s="97"/>
      <c r="EY103" s="97"/>
      <c r="EZ103" s="97"/>
      <c r="FA103" s="97"/>
      <c r="FB103" s="97"/>
      <c r="FC103" s="97"/>
      <c r="FD103" s="97"/>
      <c r="FE103" s="97"/>
      <c r="FF103" s="97"/>
      <c r="FG103" s="97"/>
      <c r="FH103" s="97"/>
      <c r="FI103" s="97"/>
      <c r="FJ103" s="97"/>
      <c r="FK103" s="97"/>
      <c r="FL103" s="97"/>
      <c r="FM103" s="97"/>
      <c r="FN103" s="97"/>
      <c r="FO103" s="97"/>
      <c r="FP103" s="97"/>
      <c r="FQ103" s="97"/>
      <c r="FR103" s="97"/>
      <c r="FS103" s="97"/>
      <c r="FT103" s="97"/>
      <c r="FU103" s="97"/>
      <c r="FV103" s="97"/>
      <c r="FW103" s="97"/>
      <c r="FX103" s="97"/>
      <c r="FY103" s="97"/>
      <c r="FZ103" s="97"/>
      <c r="GA103" s="97"/>
      <c r="GB103" s="97"/>
      <c r="GC103" s="97"/>
      <c r="GD103" s="97"/>
      <c r="GE103" s="97"/>
      <c r="GF103" s="97"/>
      <c r="GG103" s="97"/>
      <c r="GH103" s="97"/>
      <c r="GI103" s="97"/>
      <c r="GJ103" s="97"/>
      <c r="GK103" s="97"/>
      <c r="GL103" s="97"/>
      <c r="GM103" s="97"/>
      <c r="GN103" s="97"/>
      <c r="GO103" s="97"/>
      <c r="GP103" s="97"/>
      <c r="GQ103" s="97"/>
      <c r="GR103" s="97"/>
      <c r="GS103" s="97"/>
      <c r="GT103" s="97"/>
      <c r="GU103" s="97"/>
      <c r="GV103" s="97"/>
      <c r="GW103" s="97"/>
      <c r="GX103" s="97"/>
      <c r="GY103" s="97"/>
      <c r="GZ103" s="97"/>
      <c r="HA103" s="97"/>
      <c r="HB103" s="97"/>
      <c r="HC103" s="97"/>
      <c r="HD103" s="97"/>
      <c r="HE103" s="97"/>
      <c r="HF103" s="97"/>
      <c r="HG103" s="97"/>
      <c r="HH103" s="97"/>
      <c r="HI103" s="97"/>
      <c r="HJ103" s="97"/>
      <c r="HK103" s="97"/>
      <c r="HL103" s="97"/>
      <c r="HM103" s="97"/>
      <c r="HN103" s="97"/>
      <c r="HO103" s="97"/>
      <c r="HP103" s="97"/>
      <c r="HQ103" s="97"/>
      <c r="HR103" s="97"/>
      <c r="HS103" s="97"/>
      <c r="HT103" s="97"/>
      <c r="HU103" s="97"/>
      <c r="HV103" s="97"/>
      <c r="HW103" s="97"/>
      <c r="HX103" s="97"/>
      <c r="HY103" s="97"/>
      <c r="HZ103" s="97"/>
      <c r="IA103" s="97"/>
      <c r="IB103" s="97"/>
      <c r="IC103" s="97"/>
      <c r="ID103" s="97"/>
      <c r="IE103" s="97"/>
      <c r="IF103" s="97"/>
      <c r="IG103" s="97"/>
      <c r="IH103" s="97"/>
      <c r="II103" s="97"/>
      <c r="IJ103" s="97"/>
      <c r="IK103" s="97"/>
      <c r="IL103" s="97"/>
      <c r="IM103" s="97"/>
      <c r="IN103" s="97"/>
      <c r="IO103" s="97"/>
      <c r="IP103" s="97"/>
      <c r="IQ103" s="97"/>
      <c r="IR103" s="97"/>
      <c r="IS103" s="97"/>
      <c r="IT103" s="97"/>
      <c r="IU103" s="97"/>
      <c r="IV103" s="97"/>
      <c r="IW103" s="97"/>
      <c r="IX103" s="97"/>
      <c r="IY103" s="97"/>
      <c r="IZ103" s="97"/>
      <c r="JA103" s="97"/>
      <c r="JB103" s="97"/>
      <c r="JC103" s="97"/>
      <c r="JD103" s="97"/>
      <c r="JE103" s="97"/>
      <c r="JF103" s="97"/>
      <c r="JG103" s="97"/>
      <c r="JH103" s="97"/>
      <c r="JI103" s="97"/>
      <c r="JJ103" s="97"/>
      <c r="JK103" s="97"/>
      <c r="JL103" s="97"/>
      <c r="JM103" s="97"/>
      <c r="JN103" s="97"/>
      <c r="JO103" s="97"/>
      <c r="JP103" s="97"/>
      <c r="JQ103" s="97"/>
      <c r="JR103" s="97"/>
      <c r="JS103" s="97"/>
      <c r="JT103" s="97"/>
      <c r="JU103" s="97"/>
      <c r="JV103" s="97"/>
      <c r="JW103" s="97"/>
      <c r="JX103" s="97"/>
      <c r="JY103" s="97"/>
      <c r="JZ103" s="97"/>
      <c r="KA103" s="97"/>
      <c r="KB103" s="97"/>
      <c r="KC103" s="97"/>
      <c r="KD103" s="97"/>
      <c r="KE103" s="97"/>
      <c r="KF103" s="97"/>
      <c r="KG103" s="97"/>
      <c r="KH103" s="97"/>
      <c r="KI103" s="97"/>
      <c r="KJ103" s="97"/>
      <c r="KK103" s="97"/>
      <c r="KL103" s="97"/>
      <c r="KM103" s="97"/>
      <c r="KN103" s="97"/>
      <c r="KO103" s="97"/>
      <c r="KP103" s="97"/>
      <c r="KQ103" s="97"/>
      <c r="KR103" s="97"/>
      <c r="KS103" s="97"/>
      <c r="KT103" s="97"/>
      <c r="KU103" s="97"/>
      <c r="KV103" s="97"/>
      <c r="KW103" s="97"/>
      <c r="KX103" s="97"/>
      <c r="KY103" s="97"/>
      <c r="KZ103" s="97"/>
      <c r="LA103" s="97"/>
      <c r="LB103" s="97"/>
      <c r="LC103" s="97"/>
      <c r="LD103" s="97"/>
      <c r="LE103" s="97"/>
      <c r="LF103" s="97"/>
      <c r="LG103" s="97"/>
      <c r="LH103" s="97"/>
      <c r="LI103" s="97"/>
      <c r="LJ103" s="97"/>
      <c r="LK103" s="97"/>
      <c r="LL103" s="97"/>
    </row>
    <row r="104" spans="1:324" x14ac:dyDescent="0.25">
      <c r="A104" s="1">
        <v>101</v>
      </c>
      <c r="B104" s="79">
        <v>45923</v>
      </c>
      <c r="C104" s="80">
        <v>0.67222222222222217</v>
      </c>
      <c r="D104" s="81"/>
      <c r="E104" s="81"/>
      <c r="F104" s="81"/>
      <c r="G104" s="81" t="s">
        <v>114</v>
      </c>
      <c r="H104" s="81" t="s">
        <v>173</v>
      </c>
      <c r="I104" s="79"/>
      <c r="J104" s="81" t="s">
        <v>122</v>
      </c>
      <c r="K104" s="81">
        <v>40</v>
      </c>
      <c r="L104" s="81">
        <v>0</v>
      </c>
      <c r="M104" s="81" t="s">
        <v>113</v>
      </c>
      <c r="N104" s="81">
        <v>3830</v>
      </c>
      <c r="O104" s="81">
        <v>53.5</v>
      </c>
      <c r="P104" s="81">
        <v>34</v>
      </c>
      <c r="Q104" s="81">
        <v>4</v>
      </c>
      <c r="R104" s="81" t="s">
        <v>110</v>
      </c>
      <c r="S104" s="81" t="s">
        <v>110</v>
      </c>
      <c r="T104" s="81" t="s">
        <v>110</v>
      </c>
      <c r="U104" s="81" t="s">
        <v>157</v>
      </c>
      <c r="V104" s="1"/>
      <c r="W104" s="91">
        <v>9</v>
      </c>
      <c r="X104" s="91">
        <v>9</v>
      </c>
      <c r="Y104" s="91" t="s">
        <v>111</v>
      </c>
      <c r="Z104" s="91" t="s">
        <v>111</v>
      </c>
      <c r="AA104" s="91" t="s">
        <v>111</v>
      </c>
      <c r="AB104" s="91" t="s">
        <v>111</v>
      </c>
      <c r="AC104" s="91" t="s">
        <v>111</v>
      </c>
      <c r="AD104" s="91" t="s">
        <v>110</v>
      </c>
      <c r="AE104" s="91" t="s">
        <v>111</v>
      </c>
      <c r="AF104" s="91" t="s">
        <v>111</v>
      </c>
      <c r="AG104" s="91" t="s">
        <v>142</v>
      </c>
      <c r="AH104" s="91" t="s">
        <v>111</v>
      </c>
      <c r="AI104" s="91" t="s">
        <v>125</v>
      </c>
      <c r="AJ104" s="91" t="s">
        <v>111</v>
      </c>
      <c r="AK104" s="91">
        <v>31</v>
      </c>
      <c r="AL104" s="91" t="s">
        <v>111</v>
      </c>
      <c r="AM104" s="91" t="s">
        <v>111</v>
      </c>
      <c r="AN104" s="81" t="s">
        <v>158</v>
      </c>
      <c r="AO104" s="81" t="s">
        <v>111</v>
      </c>
      <c r="AP104" s="81"/>
      <c r="AQ104" s="101" t="s">
        <v>111</v>
      </c>
      <c r="AR104" s="1" t="s">
        <v>112</v>
      </c>
      <c r="AS104" s="1"/>
      <c r="AT104" s="83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  <c r="BP104" s="97"/>
      <c r="BQ104" s="97"/>
      <c r="BR104" s="97"/>
      <c r="BS104" s="97"/>
      <c r="BT104" s="97"/>
      <c r="BU104" s="97"/>
      <c r="BV104" s="97"/>
      <c r="BW104" s="97"/>
      <c r="BX104" s="97"/>
      <c r="BY104" s="97"/>
      <c r="BZ104" s="97"/>
      <c r="CA104" s="97"/>
      <c r="CB104" s="97"/>
      <c r="CC104" s="97"/>
      <c r="CD104" s="97"/>
      <c r="CE104" s="97"/>
      <c r="CF104" s="97"/>
      <c r="CG104" s="97"/>
      <c r="CH104" s="97"/>
      <c r="CI104" s="97"/>
      <c r="CJ104" s="97"/>
      <c r="CK104" s="97"/>
      <c r="CL104" s="97"/>
      <c r="CM104" s="97"/>
      <c r="CN104" s="97"/>
      <c r="CO104" s="97"/>
      <c r="CP104" s="97"/>
      <c r="CQ104" s="97"/>
      <c r="CR104" s="97"/>
      <c r="CS104" s="97"/>
      <c r="CT104" s="97"/>
      <c r="CU104" s="97"/>
      <c r="CV104" s="97"/>
      <c r="CW104" s="97"/>
      <c r="CX104" s="97"/>
      <c r="CY104" s="97"/>
      <c r="CZ104" s="97"/>
      <c r="DA104" s="97"/>
      <c r="DB104" s="97"/>
      <c r="DC104" s="97"/>
      <c r="DD104" s="97"/>
      <c r="DE104" s="97"/>
      <c r="DF104" s="97"/>
      <c r="DG104" s="97"/>
      <c r="DH104" s="97"/>
      <c r="DI104" s="97"/>
      <c r="DJ104" s="97"/>
      <c r="DK104" s="97"/>
      <c r="DL104" s="97"/>
      <c r="DM104" s="97"/>
      <c r="DN104" s="97"/>
      <c r="DO104" s="97"/>
      <c r="DP104" s="97"/>
      <c r="DQ104" s="97"/>
      <c r="DR104" s="97"/>
      <c r="DS104" s="97"/>
      <c r="DT104" s="97"/>
      <c r="DU104" s="97"/>
      <c r="DV104" s="97"/>
      <c r="DW104" s="97"/>
      <c r="DX104" s="97"/>
      <c r="DY104" s="97"/>
      <c r="DZ104" s="97"/>
      <c r="EA104" s="97"/>
      <c r="EB104" s="97"/>
      <c r="EC104" s="97"/>
      <c r="ED104" s="97"/>
      <c r="EE104" s="97"/>
      <c r="EF104" s="97"/>
      <c r="EG104" s="97"/>
      <c r="EH104" s="97"/>
      <c r="EI104" s="97"/>
      <c r="EJ104" s="97"/>
      <c r="EK104" s="97"/>
      <c r="EL104" s="97"/>
      <c r="EM104" s="97"/>
      <c r="EN104" s="97"/>
      <c r="EO104" s="97"/>
      <c r="EP104" s="97"/>
      <c r="EQ104" s="97"/>
      <c r="ER104" s="97"/>
      <c r="ES104" s="97"/>
      <c r="ET104" s="97"/>
      <c r="EU104" s="97"/>
      <c r="EV104" s="97"/>
      <c r="EW104" s="97"/>
      <c r="EX104" s="97"/>
      <c r="EY104" s="97"/>
      <c r="EZ104" s="97"/>
      <c r="FA104" s="97"/>
      <c r="FB104" s="97"/>
      <c r="FC104" s="97"/>
      <c r="FD104" s="97"/>
      <c r="FE104" s="97"/>
      <c r="FF104" s="97"/>
      <c r="FG104" s="97"/>
      <c r="FH104" s="97"/>
      <c r="FI104" s="97"/>
      <c r="FJ104" s="97"/>
      <c r="FK104" s="97"/>
      <c r="FL104" s="97"/>
      <c r="FM104" s="97"/>
      <c r="FN104" s="97"/>
      <c r="FO104" s="97"/>
      <c r="FP104" s="97"/>
      <c r="FQ104" s="97"/>
      <c r="FR104" s="97"/>
      <c r="FS104" s="97"/>
      <c r="FT104" s="97"/>
      <c r="FU104" s="97"/>
      <c r="FV104" s="97"/>
      <c r="FW104" s="97"/>
      <c r="FX104" s="97"/>
      <c r="FY104" s="97"/>
      <c r="FZ104" s="97"/>
      <c r="GA104" s="97"/>
      <c r="GB104" s="97"/>
      <c r="GC104" s="97"/>
      <c r="GD104" s="97"/>
      <c r="GE104" s="97"/>
      <c r="GF104" s="97"/>
      <c r="GG104" s="97"/>
      <c r="GH104" s="97"/>
      <c r="GI104" s="97"/>
      <c r="GJ104" s="97"/>
      <c r="GK104" s="97"/>
      <c r="GL104" s="97"/>
      <c r="GM104" s="97"/>
      <c r="GN104" s="97"/>
      <c r="GO104" s="97"/>
      <c r="GP104" s="97"/>
      <c r="GQ104" s="97"/>
      <c r="GR104" s="97"/>
      <c r="GS104" s="97"/>
      <c r="GT104" s="97"/>
      <c r="GU104" s="97"/>
      <c r="GV104" s="97"/>
      <c r="GW104" s="97"/>
      <c r="GX104" s="97"/>
      <c r="GY104" s="97"/>
      <c r="GZ104" s="97"/>
      <c r="HA104" s="97"/>
      <c r="HB104" s="97"/>
      <c r="HC104" s="97"/>
      <c r="HD104" s="97"/>
      <c r="HE104" s="97"/>
      <c r="HF104" s="97"/>
      <c r="HG104" s="97"/>
      <c r="HH104" s="97"/>
      <c r="HI104" s="97"/>
      <c r="HJ104" s="97"/>
      <c r="HK104" s="97"/>
      <c r="HL104" s="97"/>
      <c r="HM104" s="97"/>
      <c r="HN104" s="97"/>
      <c r="HO104" s="97"/>
      <c r="HP104" s="97"/>
      <c r="HQ104" s="97"/>
      <c r="HR104" s="97"/>
      <c r="HS104" s="97"/>
      <c r="HT104" s="97"/>
      <c r="HU104" s="97"/>
      <c r="HV104" s="97"/>
      <c r="HW104" s="97"/>
      <c r="HX104" s="97"/>
      <c r="HY104" s="97"/>
      <c r="HZ104" s="97"/>
      <c r="IA104" s="97"/>
      <c r="IB104" s="97"/>
      <c r="IC104" s="97"/>
      <c r="ID104" s="97"/>
      <c r="IE104" s="97"/>
      <c r="IF104" s="97"/>
      <c r="IG104" s="97"/>
      <c r="IH104" s="97"/>
      <c r="II104" s="97"/>
      <c r="IJ104" s="97"/>
      <c r="IK104" s="97"/>
      <c r="IL104" s="97"/>
      <c r="IM104" s="97"/>
      <c r="IN104" s="97"/>
      <c r="IO104" s="97"/>
      <c r="IP104" s="97"/>
      <c r="IQ104" s="97"/>
      <c r="IR104" s="97"/>
      <c r="IS104" s="97"/>
      <c r="IT104" s="97"/>
      <c r="IU104" s="97"/>
      <c r="IV104" s="97"/>
      <c r="IW104" s="97"/>
      <c r="IX104" s="97"/>
      <c r="IY104" s="97"/>
      <c r="IZ104" s="97"/>
      <c r="JA104" s="97"/>
      <c r="JB104" s="97"/>
      <c r="JC104" s="97"/>
      <c r="JD104" s="97"/>
      <c r="JE104" s="97"/>
      <c r="JF104" s="97"/>
      <c r="JG104" s="97"/>
      <c r="JH104" s="97"/>
      <c r="JI104" s="97"/>
      <c r="JJ104" s="97"/>
      <c r="JK104" s="97"/>
      <c r="JL104" s="97"/>
      <c r="JM104" s="97"/>
      <c r="JN104" s="97"/>
      <c r="JO104" s="97"/>
      <c r="JP104" s="97"/>
      <c r="JQ104" s="97"/>
      <c r="JR104" s="97"/>
      <c r="JS104" s="97"/>
      <c r="JT104" s="97"/>
      <c r="JU104" s="97"/>
      <c r="JV104" s="97"/>
      <c r="JW104" s="97"/>
      <c r="JX104" s="97"/>
      <c r="JY104" s="97"/>
      <c r="JZ104" s="97"/>
      <c r="KA104" s="97"/>
      <c r="KB104" s="97"/>
      <c r="KC104" s="97"/>
      <c r="KD104" s="97"/>
      <c r="KE104" s="97"/>
      <c r="KF104" s="97"/>
      <c r="KG104" s="97"/>
      <c r="KH104" s="97"/>
      <c r="KI104" s="97"/>
      <c r="KJ104" s="97"/>
      <c r="KK104" s="97"/>
      <c r="KL104" s="97"/>
      <c r="KM104" s="97"/>
      <c r="KN104" s="97"/>
      <c r="KO104" s="97"/>
      <c r="KP104" s="97"/>
      <c r="KQ104" s="97"/>
      <c r="KR104" s="97"/>
      <c r="KS104" s="97"/>
      <c r="KT104" s="97"/>
      <c r="KU104" s="97"/>
      <c r="KV104" s="97"/>
      <c r="KW104" s="97"/>
      <c r="KX104" s="97"/>
      <c r="KY104" s="97"/>
      <c r="KZ104" s="97"/>
      <c r="LA104" s="97"/>
      <c r="LB104" s="97"/>
      <c r="LC104" s="97"/>
      <c r="LD104" s="97"/>
      <c r="LE104" s="97"/>
      <c r="LF104" s="97"/>
      <c r="LG104" s="97"/>
      <c r="LH104" s="97"/>
      <c r="LI104" s="97"/>
      <c r="LJ104" s="97"/>
      <c r="LK104" s="97"/>
      <c r="LL104" s="97"/>
    </row>
    <row r="105" spans="1:324" x14ac:dyDescent="0.25">
      <c r="A105" s="1">
        <v>102</v>
      </c>
      <c r="B105" s="129">
        <v>45923</v>
      </c>
      <c r="C105" s="130">
        <v>0.85902777777777783</v>
      </c>
      <c r="D105" s="131"/>
      <c r="E105" s="131"/>
      <c r="F105" s="131"/>
      <c r="G105" s="131" t="s">
        <v>179</v>
      </c>
      <c r="H105" s="131" t="s">
        <v>179</v>
      </c>
      <c r="I105" s="129"/>
      <c r="J105" s="131" t="s">
        <v>127</v>
      </c>
      <c r="K105" s="131">
        <v>35</v>
      </c>
      <c r="L105" s="131">
        <v>3</v>
      </c>
      <c r="M105" s="131" t="s">
        <v>123</v>
      </c>
      <c r="N105" s="131">
        <v>2480</v>
      </c>
      <c r="O105" s="131">
        <v>47</v>
      </c>
      <c r="P105" s="131">
        <v>33.5</v>
      </c>
      <c r="Q105" s="131">
        <v>4</v>
      </c>
      <c r="R105" s="131" t="s">
        <v>111</v>
      </c>
      <c r="S105" s="131" t="s">
        <v>110</v>
      </c>
      <c r="T105" s="131" t="s">
        <v>110</v>
      </c>
      <c r="U105" s="131" t="s">
        <v>135</v>
      </c>
      <c r="V105" s="1"/>
      <c r="W105" s="131">
        <v>8</v>
      </c>
      <c r="X105" s="131">
        <v>9</v>
      </c>
      <c r="Y105" s="131" t="s">
        <v>111</v>
      </c>
      <c r="Z105" s="131" t="s">
        <v>111</v>
      </c>
      <c r="AA105" s="131" t="s">
        <v>111</v>
      </c>
      <c r="AB105" s="131" t="s">
        <v>111</v>
      </c>
      <c r="AC105" s="131" t="s">
        <v>111</v>
      </c>
      <c r="AD105" s="131" t="s">
        <v>110</v>
      </c>
      <c r="AE105" s="131" t="s">
        <v>111</v>
      </c>
      <c r="AF105" s="131" t="s">
        <v>111</v>
      </c>
      <c r="AG105" s="131" t="s">
        <v>142</v>
      </c>
      <c r="AH105" s="131" t="s">
        <v>111</v>
      </c>
      <c r="AI105" s="131" t="s">
        <v>125</v>
      </c>
      <c r="AJ105" s="131" t="s">
        <v>111</v>
      </c>
      <c r="AK105" s="131">
        <v>32</v>
      </c>
      <c r="AL105" s="131" t="s">
        <v>111</v>
      </c>
      <c r="AM105" s="131" t="s">
        <v>111</v>
      </c>
      <c r="AN105" s="131" t="s">
        <v>256</v>
      </c>
      <c r="AO105" s="131" t="s">
        <v>111</v>
      </c>
      <c r="AP105" s="81"/>
      <c r="AQ105" s="101" t="s">
        <v>111</v>
      </c>
      <c r="AR105" s="132" t="s">
        <v>137</v>
      </c>
      <c r="AS105" s="1"/>
      <c r="AT105" s="83" t="s">
        <v>110</v>
      </c>
    </row>
    <row r="106" spans="1:324" x14ac:dyDescent="0.25">
      <c r="A106" s="1">
        <v>103</v>
      </c>
      <c r="B106" s="129">
        <v>45923</v>
      </c>
      <c r="C106" s="130">
        <v>0.85972222222222217</v>
      </c>
      <c r="D106" s="131"/>
      <c r="E106" s="131"/>
      <c r="F106" s="131"/>
      <c r="G106" s="131"/>
      <c r="H106" s="131"/>
      <c r="I106" s="129"/>
      <c r="J106" s="131" t="s">
        <v>127</v>
      </c>
      <c r="K106" s="131">
        <v>35</v>
      </c>
      <c r="L106" s="131">
        <v>3</v>
      </c>
      <c r="M106" s="131" t="s">
        <v>123</v>
      </c>
      <c r="N106" s="131">
        <v>2399</v>
      </c>
      <c r="O106" s="131">
        <v>47</v>
      </c>
      <c r="P106" s="131">
        <v>34.5</v>
      </c>
      <c r="Q106" s="131">
        <v>4</v>
      </c>
      <c r="R106" s="131" t="s">
        <v>111</v>
      </c>
      <c r="S106" s="131" t="s">
        <v>110</v>
      </c>
      <c r="T106" s="131" t="s">
        <v>110</v>
      </c>
      <c r="U106" s="131" t="s">
        <v>216</v>
      </c>
      <c r="V106" s="1"/>
      <c r="W106" s="131">
        <v>9</v>
      </c>
      <c r="X106" s="131">
        <v>9</v>
      </c>
      <c r="Y106" s="131" t="s">
        <v>111</v>
      </c>
      <c r="Z106" s="131" t="s">
        <v>111</v>
      </c>
      <c r="AA106" s="131" t="s">
        <v>111</v>
      </c>
      <c r="AB106" s="131" t="s">
        <v>111</v>
      </c>
      <c r="AC106" s="131" t="s">
        <v>111</v>
      </c>
      <c r="AD106" s="131" t="s">
        <v>110</v>
      </c>
      <c r="AE106" s="131" t="s">
        <v>111</v>
      </c>
      <c r="AF106" s="131" t="s">
        <v>111</v>
      </c>
      <c r="AG106" s="131" t="s">
        <v>142</v>
      </c>
      <c r="AH106" s="131" t="s">
        <v>111</v>
      </c>
      <c r="AI106" s="131" t="s">
        <v>125</v>
      </c>
      <c r="AJ106" s="131" t="s">
        <v>111</v>
      </c>
      <c r="AK106" s="131">
        <v>32</v>
      </c>
      <c r="AL106" s="131" t="s">
        <v>111</v>
      </c>
      <c r="AM106" s="131" t="s">
        <v>111</v>
      </c>
      <c r="AN106" s="131" t="s">
        <v>257</v>
      </c>
      <c r="AO106" s="131" t="s">
        <v>111</v>
      </c>
      <c r="AP106" s="81"/>
      <c r="AQ106" s="101" t="s">
        <v>111</v>
      </c>
      <c r="AR106" s="132" t="s">
        <v>137</v>
      </c>
      <c r="AS106" s="1"/>
      <c r="AT106" s="83" t="s">
        <v>110</v>
      </c>
    </row>
    <row r="107" spans="1:324" s="71" customFormat="1" x14ac:dyDescent="0.25">
      <c r="A107" s="1">
        <v>104</v>
      </c>
      <c r="B107" s="79">
        <v>45923</v>
      </c>
      <c r="C107" s="80">
        <v>0.88055555555555554</v>
      </c>
      <c r="D107" s="81"/>
      <c r="E107" s="81"/>
      <c r="F107" s="81"/>
      <c r="G107" s="81" t="s">
        <v>154</v>
      </c>
      <c r="H107" s="81" t="s">
        <v>259</v>
      </c>
      <c r="I107" s="79"/>
      <c r="J107" s="81" t="s">
        <v>122</v>
      </c>
      <c r="K107" s="81">
        <v>37</v>
      </c>
      <c r="L107" s="81">
        <v>5</v>
      </c>
      <c r="M107" s="81" t="s">
        <v>113</v>
      </c>
      <c r="N107" s="81">
        <v>2800</v>
      </c>
      <c r="O107" s="81">
        <v>46</v>
      </c>
      <c r="P107" s="81">
        <v>35</v>
      </c>
      <c r="Q107" s="81">
        <v>4</v>
      </c>
      <c r="R107" s="81" t="s">
        <v>110</v>
      </c>
      <c r="S107" s="81" t="s">
        <v>110</v>
      </c>
      <c r="T107" s="81" t="s">
        <v>110</v>
      </c>
      <c r="U107" s="81" t="s">
        <v>135</v>
      </c>
      <c r="V107" s="1"/>
      <c r="W107" s="81">
        <v>9</v>
      </c>
      <c r="X107" s="81">
        <v>9</v>
      </c>
      <c r="Y107" s="81" t="s">
        <v>111</v>
      </c>
      <c r="Z107" s="81" t="s">
        <v>111</v>
      </c>
      <c r="AA107" s="81" t="s">
        <v>111</v>
      </c>
      <c r="AB107" s="81" t="s">
        <v>111</v>
      </c>
      <c r="AC107" s="81" t="s">
        <v>111</v>
      </c>
      <c r="AD107" s="81" t="s">
        <v>110</v>
      </c>
      <c r="AE107" s="81" t="s">
        <v>111</v>
      </c>
      <c r="AF107" s="81" t="s">
        <v>111</v>
      </c>
      <c r="AG107" s="81" t="s">
        <v>142</v>
      </c>
      <c r="AH107" s="81" t="s">
        <v>111</v>
      </c>
      <c r="AI107" s="81" t="s">
        <v>125</v>
      </c>
      <c r="AJ107" s="81" t="s">
        <v>111</v>
      </c>
      <c r="AK107" s="81">
        <v>28</v>
      </c>
      <c r="AL107" s="81" t="s">
        <v>111</v>
      </c>
      <c r="AM107" s="81" t="s">
        <v>111</v>
      </c>
      <c r="AN107" s="81" t="s">
        <v>215</v>
      </c>
      <c r="AO107" s="81" t="s">
        <v>111</v>
      </c>
      <c r="AP107" s="81"/>
      <c r="AQ107" s="104" t="s">
        <v>111</v>
      </c>
      <c r="AR107" s="8" t="s">
        <v>112</v>
      </c>
      <c r="AS107" s="8"/>
      <c r="AT107" s="84"/>
      <c r="AU107" s="81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</row>
    <row r="108" spans="1:324" s="71" customFormat="1" x14ac:dyDescent="0.25">
      <c r="A108" s="1">
        <v>105</v>
      </c>
      <c r="B108" s="79">
        <v>45923</v>
      </c>
      <c r="C108" s="80">
        <v>0.8965277777777777</v>
      </c>
      <c r="D108" s="81"/>
      <c r="E108" s="81"/>
      <c r="F108" s="81"/>
      <c r="G108" s="81" t="s">
        <v>258</v>
      </c>
      <c r="H108" s="81" t="s">
        <v>238</v>
      </c>
      <c r="I108" s="79"/>
      <c r="J108" s="81" t="s">
        <v>122</v>
      </c>
      <c r="K108" s="81">
        <v>39</v>
      </c>
      <c r="L108" s="81">
        <v>3</v>
      </c>
      <c r="M108" s="81" t="s">
        <v>113</v>
      </c>
      <c r="N108" s="81">
        <v>3400</v>
      </c>
      <c r="O108" s="81">
        <v>50</v>
      </c>
      <c r="P108" s="81">
        <v>34</v>
      </c>
      <c r="Q108" s="81">
        <v>4</v>
      </c>
      <c r="R108" s="81" t="s">
        <v>110</v>
      </c>
      <c r="S108" s="81" t="s">
        <v>110</v>
      </c>
      <c r="T108" s="81" t="s">
        <v>110</v>
      </c>
      <c r="U108" s="81" t="s">
        <v>135</v>
      </c>
      <c r="V108" s="1"/>
      <c r="W108" s="81">
        <v>9</v>
      </c>
      <c r="X108" s="81">
        <v>9</v>
      </c>
      <c r="Y108" s="81" t="s">
        <v>111</v>
      </c>
      <c r="Z108" s="81" t="s">
        <v>111</v>
      </c>
      <c r="AA108" s="81" t="s">
        <v>111</v>
      </c>
      <c r="AB108" s="81" t="s">
        <v>111</v>
      </c>
      <c r="AC108" s="81" t="s">
        <v>111</v>
      </c>
      <c r="AD108" s="81" t="s">
        <v>110</v>
      </c>
      <c r="AE108" s="81" t="s">
        <v>111</v>
      </c>
      <c r="AF108" s="81" t="s">
        <v>111</v>
      </c>
      <c r="AG108" s="81" t="s">
        <v>142</v>
      </c>
      <c r="AH108" s="81" t="s">
        <v>111</v>
      </c>
      <c r="AI108" s="81" t="s">
        <v>125</v>
      </c>
      <c r="AJ108" s="81" t="s">
        <v>111</v>
      </c>
      <c r="AK108" s="81">
        <v>23</v>
      </c>
      <c r="AL108" s="81" t="s">
        <v>111</v>
      </c>
      <c r="AM108" s="81" t="s">
        <v>111</v>
      </c>
      <c r="AN108" s="81" t="s">
        <v>138</v>
      </c>
      <c r="AO108" s="81" t="s">
        <v>111</v>
      </c>
      <c r="AP108" s="81"/>
      <c r="AQ108" s="104" t="s">
        <v>111</v>
      </c>
      <c r="AR108" s="8" t="s">
        <v>112</v>
      </c>
      <c r="AS108" s="8"/>
      <c r="AT108" s="84"/>
      <c r="AU108" s="93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</row>
    <row r="109" spans="1:324" s="78" customFormat="1" x14ac:dyDescent="0.25">
      <c r="A109" s="1">
        <v>106</v>
      </c>
      <c r="B109" s="79">
        <v>45924</v>
      </c>
      <c r="C109" s="80">
        <v>0.2722222222222222</v>
      </c>
      <c r="D109" s="81"/>
      <c r="E109" s="81"/>
      <c r="F109" s="81"/>
      <c r="G109" s="81" t="s">
        <v>133</v>
      </c>
      <c r="H109" s="81" t="s">
        <v>173</v>
      </c>
      <c r="I109" s="79"/>
      <c r="J109" s="81" t="s">
        <v>122</v>
      </c>
      <c r="K109" s="81">
        <v>38</v>
      </c>
      <c r="L109" s="81">
        <v>6</v>
      </c>
      <c r="M109" s="81" t="s">
        <v>123</v>
      </c>
      <c r="N109" s="81">
        <v>3050</v>
      </c>
      <c r="O109" s="81">
        <v>50</v>
      </c>
      <c r="P109" s="81">
        <v>35</v>
      </c>
      <c r="Q109" s="81">
        <v>4</v>
      </c>
      <c r="R109" s="81" t="s">
        <v>110</v>
      </c>
      <c r="S109" s="81" t="s">
        <v>110</v>
      </c>
      <c r="T109" s="81" t="s">
        <v>110</v>
      </c>
      <c r="U109" s="81" t="s">
        <v>135</v>
      </c>
      <c r="V109" s="1"/>
      <c r="W109" s="81">
        <v>9</v>
      </c>
      <c r="X109" s="81">
        <v>10</v>
      </c>
      <c r="Y109" s="81" t="s">
        <v>111</v>
      </c>
      <c r="Z109" s="81" t="s">
        <v>111</v>
      </c>
      <c r="AA109" s="81" t="s">
        <v>111</v>
      </c>
      <c r="AB109" s="81" t="s">
        <v>111</v>
      </c>
      <c r="AC109" s="81" t="s">
        <v>111</v>
      </c>
      <c r="AD109" s="81" t="s">
        <v>110</v>
      </c>
      <c r="AE109" s="81" t="s">
        <v>111</v>
      </c>
      <c r="AF109" s="81" t="s">
        <v>111</v>
      </c>
      <c r="AG109" s="81" t="s">
        <v>142</v>
      </c>
      <c r="AH109" s="81" t="s">
        <v>111</v>
      </c>
      <c r="AI109" s="81" t="s">
        <v>125</v>
      </c>
      <c r="AJ109" s="81" t="s">
        <v>111</v>
      </c>
      <c r="AK109" s="81">
        <v>27</v>
      </c>
      <c r="AL109" s="81" t="s">
        <v>111</v>
      </c>
      <c r="AM109" s="81" t="s">
        <v>111</v>
      </c>
      <c r="AN109" s="81" t="s">
        <v>160</v>
      </c>
      <c r="AO109" s="81" t="s">
        <v>111</v>
      </c>
      <c r="AP109" s="81"/>
      <c r="AQ109" s="104" t="s">
        <v>111</v>
      </c>
      <c r="AR109" s="8" t="s">
        <v>112</v>
      </c>
      <c r="AS109" s="8"/>
      <c r="AT109" s="84"/>
      <c r="AU109" s="93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</row>
    <row r="110" spans="1:324" s="78" customFormat="1" x14ac:dyDescent="0.25">
      <c r="A110" s="1">
        <v>107</v>
      </c>
      <c r="B110" s="79">
        <v>45924</v>
      </c>
      <c r="C110" s="80">
        <v>0.32013888888888892</v>
      </c>
      <c r="D110" s="81"/>
      <c r="E110" s="81"/>
      <c r="F110" s="81"/>
      <c r="G110" s="81" t="s">
        <v>114</v>
      </c>
      <c r="H110" s="81" t="s">
        <v>149</v>
      </c>
      <c r="I110" s="79"/>
      <c r="J110" s="81" t="s">
        <v>122</v>
      </c>
      <c r="K110" s="81">
        <v>38</v>
      </c>
      <c r="L110" s="81">
        <v>5</v>
      </c>
      <c r="M110" s="81" t="s">
        <v>123</v>
      </c>
      <c r="N110" s="81">
        <v>3810</v>
      </c>
      <c r="O110" s="81">
        <v>52</v>
      </c>
      <c r="P110" s="81">
        <v>34</v>
      </c>
      <c r="Q110" s="81">
        <v>4</v>
      </c>
      <c r="R110" s="81" t="s">
        <v>110</v>
      </c>
      <c r="S110" s="81" t="s">
        <v>110</v>
      </c>
      <c r="T110" s="81" t="s">
        <v>110</v>
      </c>
      <c r="U110" s="81" t="s">
        <v>124</v>
      </c>
      <c r="V110" s="1"/>
      <c r="W110" s="81">
        <v>9</v>
      </c>
      <c r="X110" s="81">
        <v>10</v>
      </c>
      <c r="Y110" s="81" t="s">
        <v>111</v>
      </c>
      <c r="Z110" s="81" t="s">
        <v>111</v>
      </c>
      <c r="AA110" s="81" t="s">
        <v>111</v>
      </c>
      <c r="AB110" s="81" t="s">
        <v>111</v>
      </c>
      <c r="AC110" s="81" t="s">
        <v>111</v>
      </c>
      <c r="AD110" s="81" t="s">
        <v>110</v>
      </c>
      <c r="AE110" s="81" t="s">
        <v>111</v>
      </c>
      <c r="AF110" s="81" t="s">
        <v>111</v>
      </c>
      <c r="AG110" s="81" t="s">
        <v>142</v>
      </c>
      <c r="AH110" s="81" t="s">
        <v>111</v>
      </c>
      <c r="AI110" s="81" t="s">
        <v>125</v>
      </c>
      <c r="AJ110" s="81" t="s">
        <v>111</v>
      </c>
      <c r="AK110" s="81">
        <v>16</v>
      </c>
      <c r="AL110" s="81" t="s">
        <v>111</v>
      </c>
      <c r="AM110" s="81" t="s">
        <v>111</v>
      </c>
      <c r="AN110" s="81" t="s">
        <v>211</v>
      </c>
      <c r="AO110" s="81" t="s">
        <v>111</v>
      </c>
      <c r="AP110" s="81"/>
      <c r="AQ110" s="101" t="s">
        <v>110</v>
      </c>
      <c r="AR110" s="77" t="s">
        <v>112</v>
      </c>
      <c r="AS110" s="77"/>
      <c r="AT110" s="88"/>
      <c r="AU110" s="94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</row>
    <row r="111" spans="1:324" x14ac:dyDescent="0.25">
      <c r="A111" s="1">
        <v>108</v>
      </c>
      <c r="B111" s="79">
        <v>45924</v>
      </c>
      <c r="C111" s="80">
        <v>0.39305555555555555</v>
      </c>
      <c r="D111" s="81"/>
      <c r="E111" s="81"/>
      <c r="F111" s="81"/>
      <c r="G111" s="81" t="s">
        <v>260</v>
      </c>
      <c r="H111" s="81" t="s">
        <v>260</v>
      </c>
      <c r="I111" s="79"/>
      <c r="J111" s="81" t="s">
        <v>42</v>
      </c>
      <c r="K111" s="81">
        <v>39</v>
      </c>
      <c r="L111" s="81">
        <v>2</v>
      </c>
      <c r="M111" s="81" t="s">
        <v>123</v>
      </c>
      <c r="N111" s="81">
        <v>2665</v>
      </c>
      <c r="O111" s="81">
        <v>46</v>
      </c>
      <c r="P111" s="81">
        <v>33</v>
      </c>
      <c r="Q111" s="81">
        <v>4</v>
      </c>
      <c r="R111" s="81" t="s">
        <v>110</v>
      </c>
      <c r="S111" s="81" t="s">
        <v>110</v>
      </c>
      <c r="T111" s="81" t="s">
        <v>110</v>
      </c>
      <c r="U111" s="81" t="s">
        <v>124</v>
      </c>
      <c r="V111" s="1"/>
      <c r="W111" s="81">
        <v>9</v>
      </c>
      <c r="X111" s="81">
        <v>10</v>
      </c>
      <c r="Y111" s="81" t="s">
        <v>111</v>
      </c>
      <c r="Z111" s="81" t="s">
        <v>111</v>
      </c>
      <c r="AA111" s="81" t="s">
        <v>111</v>
      </c>
      <c r="AB111" s="81" t="s">
        <v>111</v>
      </c>
      <c r="AC111" s="81" t="s">
        <v>111</v>
      </c>
      <c r="AD111" s="81" t="s">
        <v>110</v>
      </c>
      <c r="AE111" s="81" t="s">
        <v>111</v>
      </c>
      <c r="AF111" s="81" t="s">
        <v>111</v>
      </c>
      <c r="AG111" s="81" t="s">
        <v>142</v>
      </c>
      <c r="AH111" s="81" t="s">
        <v>111</v>
      </c>
      <c r="AI111" s="81" t="s">
        <v>125</v>
      </c>
      <c r="AJ111" s="81" t="s">
        <v>111</v>
      </c>
      <c r="AK111" s="81">
        <v>25</v>
      </c>
      <c r="AL111" s="81" t="s">
        <v>111</v>
      </c>
      <c r="AM111" s="81" t="s">
        <v>111</v>
      </c>
      <c r="AN111" s="81" t="s">
        <v>261</v>
      </c>
      <c r="AO111" s="81" t="s">
        <v>111</v>
      </c>
      <c r="AP111" s="81"/>
      <c r="AQ111" s="101" t="s">
        <v>110</v>
      </c>
      <c r="AR111" s="77" t="s">
        <v>112</v>
      </c>
      <c r="AS111" s="77"/>
      <c r="AT111" s="88"/>
      <c r="AU111" s="94"/>
    </row>
    <row r="112" spans="1:324" x14ac:dyDescent="0.25">
      <c r="A112" s="1">
        <v>109</v>
      </c>
      <c r="B112" s="79">
        <v>45924</v>
      </c>
      <c r="C112" s="80">
        <v>0.4375</v>
      </c>
      <c r="D112" s="81"/>
      <c r="E112" s="81"/>
      <c r="F112" s="81"/>
      <c r="G112" s="81" t="s">
        <v>179</v>
      </c>
      <c r="H112" s="81" t="s">
        <v>179</v>
      </c>
      <c r="I112" s="79"/>
      <c r="J112" s="81" t="s">
        <v>129</v>
      </c>
      <c r="K112" s="81">
        <v>40</v>
      </c>
      <c r="L112" s="81">
        <v>3</v>
      </c>
      <c r="M112" s="81" t="s">
        <v>113</v>
      </c>
      <c r="N112" s="81">
        <v>4100</v>
      </c>
      <c r="O112" s="81">
        <v>50.5</v>
      </c>
      <c r="P112" s="81">
        <v>35</v>
      </c>
      <c r="Q112" s="81">
        <v>4</v>
      </c>
      <c r="R112" s="81" t="s">
        <v>110</v>
      </c>
      <c r="S112" s="81" t="s">
        <v>110</v>
      </c>
      <c r="T112" s="81" t="s">
        <v>110</v>
      </c>
      <c r="U112" s="81" t="s">
        <v>130</v>
      </c>
      <c r="V112" s="1"/>
      <c r="W112" s="81">
        <v>9</v>
      </c>
      <c r="X112" s="81">
        <v>9</v>
      </c>
      <c r="Y112" s="81" t="s">
        <v>111</v>
      </c>
      <c r="Z112" s="81" t="s">
        <v>111</v>
      </c>
      <c r="AA112" s="81" t="s">
        <v>111</v>
      </c>
      <c r="AB112" s="81" t="s">
        <v>110</v>
      </c>
      <c r="AC112" s="81" t="s">
        <v>110</v>
      </c>
      <c r="AD112" s="81" t="s">
        <v>110</v>
      </c>
      <c r="AE112" s="81" t="s">
        <v>111</v>
      </c>
      <c r="AF112" s="81" t="s">
        <v>111</v>
      </c>
      <c r="AG112" s="81" t="s">
        <v>142</v>
      </c>
      <c r="AH112" s="81" t="s">
        <v>111</v>
      </c>
      <c r="AI112" s="81" t="s">
        <v>125</v>
      </c>
      <c r="AJ112" s="81" t="s">
        <v>111</v>
      </c>
      <c r="AK112" s="81">
        <v>37</v>
      </c>
      <c r="AL112" s="81" t="s">
        <v>111</v>
      </c>
      <c r="AM112" s="81" t="s">
        <v>111</v>
      </c>
      <c r="AN112" s="81" t="s">
        <v>158</v>
      </c>
      <c r="AO112" s="81" t="s">
        <v>111</v>
      </c>
      <c r="AP112" s="81"/>
      <c r="AQ112" s="101" t="s">
        <v>110</v>
      </c>
      <c r="AR112" s="1" t="s">
        <v>131</v>
      </c>
      <c r="AS112" s="1"/>
      <c r="AT112" s="83" t="s">
        <v>110</v>
      </c>
      <c r="AV112" s="82"/>
      <c r="AW112" s="82"/>
      <c r="AX112" s="82"/>
      <c r="AY112" s="82"/>
      <c r="AZ112" s="82"/>
      <c r="BA112" s="82"/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  <c r="BT112" s="82"/>
      <c r="BU112" s="82"/>
      <c r="BV112" s="82"/>
      <c r="BW112" s="82"/>
      <c r="BX112" s="82"/>
      <c r="BY112" s="82"/>
      <c r="BZ112" s="82"/>
      <c r="CA112" s="82"/>
      <c r="CB112" s="82"/>
      <c r="CC112" s="82"/>
      <c r="CD112" s="82"/>
      <c r="CE112" s="82"/>
      <c r="CF112" s="82"/>
      <c r="CG112" s="82"/>
      <c r="CH112" s="82"/>
      <c r="CI112" s="82"/>
      <c r="CJ112" s="82"/>
      <c r="CK112" s="82"/>
      <c r="CL112" s="82"/>
      <c r="CM112" s="82"/>
      <c r="CN112" s="82"/>
      <c r="CO112" s="82"/>
      <c r="CP112" s="82"/>
      <c r="CQ112" s="82"/>
      <c r="CR112" s="82"/>
      <c r="CS112" s="82"/>
      <c r="CT112" s="82"/>
      <c r="CU112" s="82"/>
      <c r="CV112" s="82"/>
      <c r="CW112" s="82"/>
      <c r="CX112" s="82"/>
      <c r="CY112" s="82"/>
      <c r="CZ112" s="82"/>
      <c r="DA112" s="82"/>
      <c r="DB112" s="82"/>
      <c r="DC112" s="82"/>
      <c r="DD112" s="82"/>
      <c r="DE112" s="82"/>
      <c r="DF112" s="82"/>
      <c r="DG112" s="82"/>
      <c r="DH112" s="82"/>
      <c r="DI112" s="82"/>
      <c r="DJ112" s="82"/>
      <c r="DK112" s="82"/>
      <c r="DL112" s="82"/>
      <c r="DM112" s="82"/>
      <c r="DN112" s="82"/>
      <c r="DO112" s="82"/>
      <c r="DP112" s="82"/>
      <c r="DQ112" s="82"/>
      <c r="DR112" s="82"/>
      <c r="DS112" s="82"/>
      <c r="DT112" s="82"/>
      <c r="DU112" s="82"/>
      <c r="DV112" s="82"/>
      <c r="DW112" s="82"/>
      <c r="DX112" s="82"/>
      <c r="DY112" s="82"/>
      <c r="DZ112" s="82"/>
      <c r="EA112" s="82"/>
      <c r="EB112" s="82"/>
      <c r="EC112" s="82"/>
      <c r="ED112" s="82"/>
      <c r="EE112" s="82"/>
      <c r="EF112" s="82"/>
      <c r="EG112" s="82"/>
      <c r="EH112" s="82"/>
      <c r="EI112" s="82"/>
      <c r="EJ112" s="82"/>
      <c r="EK112" s="82"/>
      <c r="EL112" s="82"/>
      <c r="EM112" s="82"/>
      <c r="EN112" s="82"/>
      <c r="EO112" s="82"/>
      <c r="EP112" s="82"/>
      <c r="EQ112" s="82"/>
      <c r="ER112" s="82"/>
      <c r="ES112" s="82"/>
      <c r="ET112" s="82"/>
      <c r="EU112" s="82"/>
      <c r="EV112" s="82"/>
      <c r="EW112" s="82"/>
      <c r="EX112" s="82"/>
      <c r="EY112" s="82"/>
      <c r="EZ112" s="82"/>
      <c r="FA112" s="82"/>
      <c r="FB112" s="82"/>
      <c r="FC112" s="82"/>
      <c r="FD112" s="82"/>
      <c r="FE112" s="82"/>
      <c r="FF112" s="82"/>
      <c r="FG112" s="82"/>
      <c r="FH112" s="82"/>
      <c r="FI112" s="82"/>
      <c r="FJ112" s="82"/>
      <c r="FK112" s="82"/>
      <c r="FL112" s="82"/>
      <c r="FM112" s="82"/>
      <c r="FN112" s="82"/>
      <c r="FO112" s="82"/>
      <c r="FP112" s="82"/>
      <c r="FQ112" s="82"/>
      <c r="FR112" s="82"/>
      <c r="FS112" s="82"/>
      <c r="FT112" s="82"/>
      <c r="FU112" s="82"/>
      <c r="FV112" s="82"/>
      <c r="FW112" s="82"/>
      <c r="FX112" s="82"/>
      <c r="FY112" s="82"/>
      <c r="FZ112" s="82"/>
      <c r="GA112" s="82"/>
      <c r="GB112" s="82"/>
      <c r="GC112" s="82"/>
      <c r="GD112" s="82"/>
      <c r="GE112" s="82"/>
      <c r="GF112" s="82"/>
      <c r="GG112" s="82"/>
      <c r="GH112" s="82"/>
      <c r="GI112" s="82"/>
      <c r="GJ112" s="82"/>
      <c r="GK112" s="82"/>
      <c r="GL112" s="82"/>
      <c r="GM112" s="82"/>
      <c r="GN112" s="82"/>
      <c r="GO112" s="82"/>
      <c r="GP112" s="82"/>
      <c r="GQ112" s="82"/>
      <c r="GR112" s="82"/>
      <c r="GS112" s="82"/>
      <c r="GT112" s="82"/>
      <c r="GU112" s="82"/>
      <c r="GV112" s="82"/>
      <c r="GW112" s="82"/>
      <c r="GX112" s="82"/>
      <c r="GY112" s="82"/>
      <c r="GZ112" s="82"/>
      <c r="HA112" s="82"/>
      <c r="HB112" s="82"/>
      <c r="HC112" s="82"/>
      <c r="HD112" s="82"/>
      <c r="HE112" s="82"/>
      <c r="HF112" s="82"/>
      <c r="HG112" s="82"/>
      <c r="HH112" s="82"/>
      <c r="HI112" s="82"/>
      <c r="HJ112" s="82"/>
      <c r="HK112" s="82"/>
      <c r="HL112" s="82"/>
      <c r="HM112" s="82"/>
      <c r="HN112" s="82"/>
      <c r="HO112" s="82"/>
      <c r="HP112" s="82"/>
      <c r="HQ112" s="82"/>
      <c r="HR112" s="82"/>
      <c r="HS112" s="82"/>
      <c r="HT112" s="82"/>
      <c r="HU112" s="82"/>
      <c r="HV112" s="82"/>
      <c r="HW112" s="82"/>
      <c r="HX112" s="82"/>
      <c r="HY112" s="82"/>
      <c r="HZ112" s="82"/>
      <c r="IA112" s="82"/>
      <c r="IB112" s="82"/>
      <c r="IC112" s="82"/>
      <c r="ID112" s="82"/>
      <c r="IE112" s="82"/>
      <c r="IF112" s="82"/>
      <c r="IG112" s="82"/>
      <c r="IH112" s="82"/>
      <c r="II112" s="82"/>
      <c r="IJ112" s="82"/>
      <c r="IK112" s="82"/>
      <c r="IL112" s="82"/>
      <c r="IM112" s="82"/>
      <c r="IN112" s="82"/>
      <c r="IO112" s="82"/>
      <c r="IP112" s="82"/>
      <c r="IQ112" s="82"/>
      <c r="IR112" s="82"/>
      <c r="IS112" s="82"/>
      <c r="IT112" s="82"/>
      <c r="IU112" s="82"/>
      <c r="IV112" s="82"/>
      <c r="IW112" s="82"/>
      <c r="IX112" s="82"/>
      <c r="IY112" s="82"/>
      <c r="IZ112" s="82"/>
      <c r="JA112" s="82"/>
      <c r="JB112" s="82"/>
      <c r="JC112" s="82"/>
      <c r="JD112" s="82"/>
      <c r="JE112" s="82"/>
      <c r="JF112" s="82"/>
      <c r="JG112" s="82"/>
      <c r="JH112" s="82"/>
      <c r="JI112" s="82"/>
      <c r="JJ112" s="82"/>
      <c r="JK112" s="82"/>
      <c r="JL112" s="82"/>
      <c r="JM112" s="82"/>
      <c r="JN112" s="82"/>
      <c r="JO112" s="82"/>
      <c r="JP112" s="82"/>
      <c r="JQ112" s="82"/>
      <c r="JR112" s="82"/>
      <c r="JS112" s="82"/>
      <c r="JT112" s="82"/>
      <c r="JU112" s="82"/>
      <c r="JV112" s="82"/>
      <c r="JW112" s="82"/>
      <c r="JX112" s="82"/>
      <c r="JY112" s="82"/>
      <c r="JZ112" s="82"/>
      <c r="KA112" s="82"/>
      <c r="KB112" s="82"/>
      <c r="KC112" s="82"/>
      <c r="KD112" s="82"/>
      <c r="KE112" s="82"/>
      <c r="KF112" s="82"/>
      <c r="KG112" s="82"/>
      <c r="KH112" s="82"/>
      <c r="KI112" s="82"/>
      <c r="KJ112" s="82"/>
      <c r="KK112" s="82"/>
      <c r="KL112" s="82"/>
      <c r="KM112" s="82"/>
      <c r="KN112" s="82"/>
      <c r="KO112" s="82"/>
      <c r="KP112" s="82"/>
      <c r="KQ112" s="82"/>
      <c r="KR112" s="82"/>
      <c r="KS112" s="82"/>
      <c r="KT112" s="82"/>
      <c r="KU112" s="82"/>
      <c r="KV112" s="82"/>
      <c r="KW112" s="82"/>
      <c r="KX112" s="82"/>
      <c r="KY112" s="82"/>
      <c r="KZ112" s="82"/>
      <c r="LA112" s="82"/>
      <c r="LB112" s="82"/>
      <c r="LC112" s="82"/>
      <c r="LD112" s="82"/>
      <c r="LE112" s="82"/>
      <c r="LF112" s="82"/>
      <c r="LG112" s="82"/>
      <c r="LH112" s="82"/>
      <c r="LI112" s="82"/>
      <c r="LJ112" s="82"/>
      <c r="LK112" s="82"/>
      <c r="LL112" s="82"/>
    </row>
    <row r="113" spans="1:324" x14ac:dyDescent="0.25">
      <c r="A113" s="1">
        <v>110</v>
      </c>
      <c r="B113" s="79">
        <v>45924</v>
      </c>
      <c r="C113" s="80">
        <v>0.69652777777777775</v>
      </c>
      <c r="D113" s="81"/>
      <c r="E113" s="81"/>
      <c r="F113" s="81"/>
      <c r="G113" s="81" t="s">
        <v>114</v>
      </c>
      <c r="H113" s="81" t="s">
        <v>262</v>
      </c>
      <c r="I113" s="79"/>
      <c r="J113" s="81" t="s">
        <v>127</v>
      </c>
      <c r="K113" s="81">
        <v>29</v>
      </c>
      <c r="L113" s="81">
        <v>5</v>
      </c>
      <c r="M113" s="81" t="s">
        <v>123</v>
      </c>
      <c r="N113" s="81">
        <v>1620</v>
      </c>
      <c r="O113" s="81">
        <v>37</v>
      </c>
      <c r="P113" s="81">
        <v>27.5</v>
      </c>
      <c r="Q113" s="81">
        <v>1</v>
      </c>
      <c r="R113" s="81" t="s">
        <v>111</v>
      </c>
      <c r="S113" s="81" t="s">
        <v>110</v>
      </c>
      <c r="T113" s="81" t="s">
        <v>110</v>
      </c>
      <c r="U113" s="81" t="s">
        <v>264</v>
      </c>
      <c r="V113" s="1"/>
      <c r="W113" s="81">
        <v>8</v>
      </c>
      <c r="X113" s="81">
        <v>6</v>
      </c>
      <c r="Y113" s="81" t="s">
        <v>110</v>
      </c>
      <c r="Z113" s="81" t="s">
        <v>110</v>
      </c>
      <c r="AA113" s="81" t="s">
        <v>111</v>
      </c>
      <c r="AB113" s="81" t="s">
        <v>111</v>
      </c>
      <c r="AC113" s="81" t="s">
        <v>111</v>
      </c>
      <c r="AD113" s="81" t="s">
        <v>110</v>
      </c>
      <c r="AE113" s="81" t="s">
        <v>111</v>
      </c>
      <c r="AF113" s="81" t="s">
        <v>111</v>
      </c>
      <c r="AG113" s="81" t="s">
        <v>142</v>
      </c>
      <c r="AH113" s="81" t="s">
        <v>111</v>
      </c>
      <c r="AI113" s="81" t="s">
        <v>125</v>
      </c>
      <c r="AJ113" s="81" t="s">
        <v>111</v>
      </c>
      <c r="AK113" s="81">
        <v>41</v>
      </c>
      <c r="AL113" s="81" t="s">
        <v>111</v>
      </c>
      <c r="AM113" s="81" t="s">
        <v>111</v>
      </c>
      <c r="AN113" s="81" t="s">
        <v>263</v>
      </c>
      <c r="AO113" s="81" t="s">
        <v>111</v>
      </c>
      <c r="AP113" s="81"/>
      <c r="AQ113" s="101" t="s">
        <v>111</v>
      </c>
      <c r="AR113" s="1" t="s">
        <v>201</v>
      </c>
      <c r="AS113" s="1"/>
      <c r="AT113" s="83"/>
    </row>
    <row r="114" spans="1:324" x14ac:dyDescent="0.25">
      <c r="A114" s="1">
        <v>111</v>
      </c>
      <c r="B114" s="79">
        <v>45925</v>
      </c>
      <c r="C114" s="80">
        <v>9.375E-2</v>
      </c>
      <c r="D114" s="81"/>
      <c r="E114" s="81"/>
      <c r="F114" s="81"/>
      <c r="G114" s="81" t="s">
        <v>114</v>
      </c>
      <c r="H114" s="81" t="s">
        <v>128</v>
      </c>
      <c r="I114" s="79"/>
      <c r="J114" s="81" t="s">
        <v>122</v>
      </c>
      <c r="K114" s="81">
        <v>37</v>
      </c>
      <c r="L114" s="81">
        <v>0</v>
      </c>
      <c r="M114" s="81" t="s">
        <v>123</v>
      </c>
      <c r="N114" s="81">
        <v>2795</v>
      </c>
      <c r="O114" s="81">
        <v>44</v>
      </c>
      <c r="P114" s="81">
        <v>33</v>
      </c>
      <c r="Q114" s="81">
        <v>4</v>
      </c>
      <c r="R114" s="81" t="s">
        <v>110</v>
      </c>
      <c r="S114" s="81" t="s">
        <v>110</v>
      </c>
      <c r="T114" s="81" t="s">
        <v>110</v>
      </c>
      <c r="U114" s="81" t="s">
        <v>157</v>
      </c>
      <c r="V114" s="1"/>
      <c r="W114" s="81">
        <v>8</v>
      </c>
      <c r="X114" s="81">
        <v>9</v>
      </c>
      <c r="Y114" s="81" t="s">
        <v>111</v>
      </c>
      <c r="Z114" s="81" t="s">
        <v>111</v>
      </c>
      <c r="AA114" s="81" t="s">
        <v>111</v>
      </c>
      <c r="AB114" s="81" t="s">
        <v>111</v>
      </c>
      <c r="AC114" s="81" t="s">
        <v>111</v>
      </c>
      <c r="AD114" s="81" t="s">
        <v>110</v>
      </c>
      <c r="AE114" s="81" t="s">
        <v>111</v>
      </c>
      <c r="AF114" s="81" t="s">
        <v>111</v>
      </c>
      <c r="AG114" s="81" t="s">
        <v>142</v>
      </c>
      <c r="AH114" s="81" t="s">
        <v>111</v>
      </c>
      <c r="AI114" s="81" t="s">
        <v>125</v>
      </c>
      <c r="AJ114" s="81" t="s">
        <v>111</v>
      </c>
      <c r="AK114" s="81">
        <v>28</v>
      </c>
      <c r="AL114" s="81" t="s">
        <v>111</v>
      </c>
      <c r="AM114" s="81" t="s">
        <v>111</v>
      </c>
      <c r="AN114" s="81" t="s">
        <v>265</v>
      </c>
      <c r="AO114" s="81" t="s">
        <v>111</v>
      </c>
      <c r="AP114" s="81"/>
      <c r="AQ114" s="101" t="s">
        <v>111</v>
      </c>
      <c r="AR114" s="1" t="s">
        <v>112</v>
      </c>
      <c r="AS114" s="1"/>
      <c r="AT114" s="83"/>
    </row>
    <row r="115" spans="1:324" x14ac:dyDescent="0.25">
      <c r="A115" s="1">
        <v>112</v>
      </c>
      <c r="B115" s="79">
        <v>45925</v>
      </c>
      <c r="C115" s="80">
        <v>0.3888888888888889</v>
      </c>
      <c r="D115" s="81"/>
      <c r="E115" s="81"/>
      <c r="F115" s="81"/>
      <c r="G115" s="81" t="s">
        <v>139</v>
      </c>
      <c r="H115" s="81" t="s">
        <v>147</v>
      </c>
      <c r="I115" s="79"/>
      <c r="J115" s="81" t="s">
        <v>127</v>
      </c>
      <c r="K115" s="81">
        <v>38</v>
      </c>
      <c r="L115" s="81">
        <v>2</v>
      </c>
      <c r="M115" s="81" t="s">
        <v>123</v>
      </c>
      <c r="N115" s="81">
        <v>3390</v>
      </c>
      <c r="O115" s="81">
        <v>48</v>
      </c>
      <c r="P115" s="81">
        <v>36.5</v>
      </c>
      <c r="Q115" s="81">
        <v>4</v>
      </c>
      <c r="R115" s="81" t="s">
        <v>110</v>
      </c>
      <c r="S115" s="81" t="s">
        <v>110</v>
      </c>
      <c r="T115" s="81" t="s">
        <v>110</v>
      </c>
      <c r="U115" s="81" t="s">
        <v>130</v>
      </c>
      <c r="V115" s="1"/>
      <c r="W115" s="81">
        <v>9</v>
      </c>
      <c r="X115" s="81">
        <v>9</v>
      </c>
      <c r="Y115" s="81" t="s">
        <v>111</v>
      </c>
      <c r="Z115" s="81" t="s">
        <v>111</v>
      </c>
      <c r="AA115" s="81" t="s">
        <v>111</v>
      </c>
      <c r="AB115" s="81" t="s">
        <v>111</v>
      </c>
      <c r="AC115" s="81" t="s">
        <v>110</v>
      </c>
      <c r="AD115" s="81" t="s">
        <v>110</v>
      </c>
      <c r="AE115" s="81" t="s">
        <v>111</v>
      </c>
      <c r="AF115" s="81" t="s">
        <v>111</v>
      </c>
      <c r="AG115" s="81" t="s">
        <v>142</v>
      </c>
      <c r="AH115" s="81" t="s">
        <v>111</v>
      </c>
      <c r="AI115" s="81" t="s">
        <v>125</v>
      </c>
      <c r="AJ115" s="81" t="s">
        <v>111</v>
      </c>
      <c r="AK115" s="81">
        <v>43</v>
      </c>
      <c r="AL115" s="81" t="s">
        <v>111</v>
      </c>
      <c r="AM115" s="81" t="s">
        <v>111</v>
      </c>
      <c r="AN115" s="81" t="s">
        <v>160</v>
      </c>
      <c r="AO115" s="81" t="s">
        <v>111</v>
      </c>
      <c r="AP115" s="81"/>
      <c r="AQ115" s="101" t="s">
        <v>111</v>
      </c>
      <c r="AR115" s="1" t="s">
        <v>131</v>
      </c>
      <c r="AS115" s="1"/>
      <c r="AT115" s="83" t="s">
        <v>111</v>
      </c>
      <c r="AU115" s="81" t="s">
        <v>197</v>
      </c>
    </row>
    <row r="116" spans="1:324" s="100" customFormat="1" x14ac:dyDescent="0.25">
      <c r="A116" s="1">
        <v>113</v>
      </c>
      <c r="B116" s="79">
        <v>45925</v>
      </c>
      <c r="C116" s="80">
        <v>0.48402777777777778</v>
      </c>
      <c r="D116" s="81"/>
      <c r="E116" s="81"/>
      <c r="F116" s="81"/>
      <c r="G116" s="81" t="s">
        <v>159</v>
      </c>
      <c r="H116" s="81" t="s">
        <v>159</v>
      </c>
      <c r="I116" s="79"/>
      <c r="J116" s="81" t="s">
        <v>129</v>
      </c>
      <c r="K116" s="81">
        <v>38</v>
      </c>
      <c r="L116" s="81">
        <v>4</v>
      </c>
      <c r="M116" s="81" t="s">
        <v>113</v>
      </c>
      <c r="N116" s="81">
        <v>3050</v>
      </c>
      <c r="O116" s="81">
        <v>48</v>
      </c>
      <c r="P116" s="81">
        <v>33</v>
      </c>
      <c r="Q116" s="81">
        <v>4</v>
      </c>
      <c r="R116" s="81" t="s">
        <v>110</v>
      </c>
      <c r="S116" s="81" t="s">
        <v>110</v>
      </c>
      <c r="T116" s="81" t="s">
        <v>110</v>
      </c>
      <c r="U116" s="81" t="s">
        <v>130</v>
      </c>
      <c r="V116" s="1"/>
      <c r="W116" s="81">
        <v>9</v>
      </c>
      <c r="X116" s="81">
        <v>10</v>
      </c>
      <c r="Y116" s="81" t="s">
        <v>111</v>
      </c>
      <c r="Z116" s="81" t="s">
        <v>111</v>
      </c>
      <c r="AA116" s="81" t="s">
        <v>111</v>
      </c>
      <c r="AB116" s="81" t="s">
        <v>110</v>
      </c>
      <c r="AC116" s="81" t="s">
        <v>110</v>
      </c>
      <c r="AD116" s="81" t="s">
        <v>110</v>
      </c>
      <c r="AE116" s="81" t="s">
        <v>111</v>
      </c>
      <c r="AF116" s="81" t="s">
        <v>111</v>
      </c>
      <c r="AG116" s="81" t="s">
        <v>142</v>
      </c>
      <c r="AH116" s="81" t="s">
        <v>111</v>
      </c>
      <c r="AI116" s="81" t="s">
        <v>125</v>
      </c>
      <c r="AJ116" s="81" t="s">
        <v>111</v>
      </c>
      <c r="AK116" s="81">
        <v>26</v>
      </c>
      <c r="AL116" s="81" t="s">
        <v>111</v>
      </c>
      <c r="AM116" s="81" t="s">
        <v>111</v>
      </c>
      <c r="AN116" s="81" t="s">
        <v>160</v>
      </c>
      <c r="AO116" s="81" t="s">
        <v>111</v>
      </c>
      <c r="AP116" s="81"/>
      <c r="AQ116" s="101" t="s">
        <v>111</v>
      </c>
      <c r="AR116" s="1" t="s">
        <v>131</v>
      </c>
      <c r="AS116" s="1"/>
      <c r="AT116" s="83" t="s">
        <v>110</v>
      </c>
      <c r="AU116" s="81" t="s">
        <v>197</v>
      </c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</row>
    <row r="117" spans="1:324" s="100" customFormat="1" x14ac:dyDescent="0.25">
      <c r="A117" s="1">
        <v>114</v>
      </c>
      <c r="B117" s="79">
        <v>45925</v>
      </c>
      <c r="C117" s="80">
        <v>0.73611111111111116</v>
      </c>
      <c r="D117" s="81"/>
      <c r="E117" s="81"/>
      <c r="F117" s="81"/>
      <c r="G117" s="81" t="s">
        <v>114</v>
      </c>
      <c r="H117" s="81" t="s">
        <v>266</v>
      </c>
      <c r="I117" s="79"/>
      <c r="J117" s="81" t="s">
        <v>122</v>
      </c>
      <c r="K117" s="81">
        <v>33</v>
      </c>
      <c r="L117" s="81">
        <v>4</v>
      </c>
      <c r="M117" s="81" t="s">
        <v>123</v>
      </c>
      <c r="N117" s="81">
        <v>2920</v>
      </c>
      <c r="O117" s="81">
        <v>45</v>
      </c>
      <c r="P117" s="81">
        <v>33</v>
      </c>
      <c r="Q117" s="81">
        <v>4</v>
      </c>
      <c r="R117" s="81" t="s">
        <v>111</v>
      </c>
      <c r="S117" s="81" t="s">
        <v>110</v>
      </c>
      <c r="T117" s="81" t="s">
        <v>110</v>
      </c>
      <c r="U117" s="81" t="s">
        <v>132</v>
      </c>
      <c r="V117" s="1"/>
      <c r="W117" s="81">
        <v>7</v>
      </c>
      <c r="X117" s="81">
        <v>8</v>
      </c>
      <c r="Y117" s="81" t="s">
        <v>110</v>
      </c>
      <c r="Z117" s="81" t="s">
        <v>111</v>
      </c>
      <c r="AA117" s="81" t="s">
        <v>111</v>
      </c>
      <c r="AB117" s="81" t="s">
        <v>111</v>
      </c>
      <c r="AC117" s="81" t="s">
        <v>111</v>
      </c>
      <c r="AD117" s="81" t="s">
        <v>110</v>
      </c>
      <c r="AE117" s="81" t="s">
        <v>111</v>
      </c>
      <c r="AF117" s="81" t="s">
        <v>111</v>
      </c>
      <c r="AG117" s="81" t="s">
        <v>142</v>
      </c>
      <c r="AH117" s="81" t="s">
        <v>111</v>
      </c>
      <c r="AI117" s="81" t="s">
        <v>125</v>
      </c>
      <c r="AJ117" s="81" t="s">
        <v>111</v>
      </c>
      <c r="AK117" s="81">
        <v>30</v>
      </c>
      <c r="AL117" s="81" t="s">
        <v>111</v>
      </c>
      <c r="AM117" s="81" t="s">
        <v>111</v>
      </c>
      <c r="AN117" s="81" t="s">
        <v>268</v>
      </c>
      <c r="AO117" s="81" t="s">
        <v>111</v>
      </c>
      <c r="AP117" s="81"/>
      <c r="AQ117" s="101" t="s">
        <v>111</v>
      </c>
      <c r="AR117" s="1" t="s">
        <v>241</v>
      </c>
      <c r="AS117" s="1"/>
      <c r="AT117" s="83"/>
      <c r="AU117" s="81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</row>
    <row r="118" spans="1:324" x14ac:dyDescent="0.25">
      <c r="A118" s="1">
        <v>115</v>
      </c>
      <c r="B118" s="79">
        <v>45925</v>
      </c>
      <c r="C118" s="80">
        <v>0.78263888888888899</v>
      </c>
      <c r="D118" s="81"/>
      <c r="E118" s="81"/>
      <c r="F118" s="81"/>
      <c r="G118" s="81" t="s">
        <v>159</v>
      </c>
      <c r="H118" s="81" t="s">
        <v>159</v>
      </c>
      <c r="I118" s="79"/>
      <c r="J118" s="81" t="s">
        <v>127</v>
      </c>
      <c r="K118" s="81">
        <v>38</v>
      </c>
      <c r="L118" s="81">
        <v>0</v>
      </c>
      <c r="M118" s="81" t="s">
        <v>113</v>
      </c>
      <c r="N118" s="81">
        <v>3390</v>
      </c>
      <c r="O118" s="81">
        <v>49</v>
      </c>
      <c r="P118" s="81">
        <v>32</v>
      </c>
      <c r="Q118" s="81">
        <v>4</v>
      </c>
      <c r="R118" s="81" t="s">
        <v>110</v>
      </c>
      <c r="S118" s="81" t="s">
        <v>110</v>
      </c>
      <c r="T118" s="81" t="s">
        <v>110</v>
      </c>
      <c r="U118" s="81" t="s">
        <v>269</v>
      </c>
      <c r="V118" s="1"/>
      <c r="W118" s="81">
        <v>9</v>
      </c>
      <c r="X118" s="81">
        <v>9</v>
      </c>
      <c r="Y118" s="81" t="s">
        <v>110</v>
      </c>
      <c r="Z118" s="81" t="s">
        <v>111</v>
      </c>
      <c r="AA118" s="81" t="s">
        <v>111</v>
      </c>
      <c r="AB118" s="81" t="s">
        <v>111</v>
      </c>
      <c r="AC118" s="81" t="s">
        <v>111</v>
      </c>
      <c r="AD118" s="81" t="s">
        <v>110</v>
      </c>
      <c r="AE118" s="81" t="s">
        <v>111</v>
      </c>
      <c r="AF118" s="81" t="s">
        <v>111</v>
      </c>
      <c r="AG118" s="81" t="s">
        <v>142</v>
      </c>
      <c r="AH118" s="81" t="s">
        <v>111</v>
      </c>
      <c r="AI118" s="81" t="s">
        <v>125</v>
      </c>
      <c r="AJ118" s="81" t="s">
        <v>111</v>
      </c>
      <c r="AK118" s="81">
        <v>32</v>
      </c>
      <c r="AL118" s="81" t="s">
        <v>111</v>
      </c>
      <c r="AM118" s="81" t="s">
        <v>111</v>
      </c>
      <c r="AN118" s="81" t="s">
        <v>160</v>
      </c>
      <c r="AO118" s="81" t="s">
        <v>111</v>
      </c>
      <c r="AP118" s="81"/>
      <c r="AQ118" s="101" t="s">
        <v>110</v>
      </c>
      <c r="AR118" s="1" t="s">
        <v>267</v>
      </c>
      <c r="AS118" s="1"/>
      <c r="AT118" s="83" t="s">
        <v>110</v>
      </c>
      <c r="AU118" s="81" t="s">
        <v>270</v>
      </c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45"/>
      <c r="DA118" s="145"/>
      <c r="DB118" s="145"/>
      <c r="DC118" s="145"/>
      <c r="DD118" s="145"/>
      <c r="DE118" s="145"/>
      <c r="DF118" s="145"/>
      <c r="DG118" s="145"/>
      <c r="DH118" s="145"/>
      <c r="DI118" s="145"/>
      <c r="DJ118" s="145"/>
      <c r="DK118" s="145"/>
      <c r="DL118" s="145"/>
      <c r="DM118" s="145"/>
      <c r="DN118" s="145"/>
      <c r="DO118" s="145"/>
      <c r="DP118" s="145"/>
      <c r="DQ118" s="145"/>
      <c r="DR118" s="145"/>
      <c r="DS118" s="145"/>
      <c r="DT118" s="145"/>
      <c r="DU118" s="145"/>
      <c r="DV118" s="145"/>
      <c r="DW118" s="145"/>
      <c r="DX118" s="145"/>
      <c r="DY118" s="145"/>
      <c r="DZ118" s="145"/>
      <c r="EA118" s="145"/>
      <c r="EB118" s="145"/>
      <c r="EC118" s="145"/>
      <c r="ED118" s="145"/>
      <c r="EE118" s="145"/>
      <c r="EF118" s="145"/>
      <c r="EG118" s="145"/>
      <c r="EH118" s="145"/>
      <c r="EI118" s="145"/>
      <c r="EJ118" s="145"/>
      <c r="EK118" s="145"/>
      <c r="EL118" s="145"/>
      <c r="EM118" s="145"/>
      <c r="EN118" s="145"/>
      <c r="EO118" s="145"/>
      <c r="EP118" s="145"/>
      <c r="EQ118" s="145"/>
      <c r="ER118" s="145"/>
      <c r="ES118" s="145"/>
      <c r="ET118" s="145"/>
      <c r="EU118" s="145"/>
      <c r="EV118" s="145"/>
      <c r="EW118" s="145"/>
      <c r="EX118" s="145"/>
      <c r="EY118" s="145"/>
      <c r="EZ118" s="145"/>
      <c r="FA118" s="145"/>
      <c r="FB118" s="145"/>
      <c r="FC118" s="145"/>
      <c r="FD118" s="145"/>
      <c r="FE118" s="145"/>
      <c r="FF118" s="145"/>
      <c r="FG118" s="145"/>
      <c r="FH118" s="145"/>
      <c r="FI118" s="145"/>
      <c r="FJ118" s="145"/>
      <c r="FK118" s="145"/>
      <c r="FL118" s="145"/>
      <c r="FM118" s="145"/>
      <c r="FN118" s="145"/>
      <c r="FO118" s="145"/>
      <c r="FP118" s="145"/>
      <c r="FQ118" s="145"/>
      <c r="FR118" s="145"/>
      <c r="FS118" s="145"/>
      <c r="FT118" s="145"/>
      <c r="FU118" s="145"/>
      <c r="FV118" s="145"/>
      <c r="FW118" s="145"/>
      <c r="FX118" s="145"/>
      <c r="FY118" s="145"/>
      <c r="FZ118" s="145"/>
      <c r="GA118" s="145"/>
      <c r="GB118" s="145"/>
      <c r="GC118" s="145"/>
      <c r="GD118" s="145"/>
      <c r="GE118" s="145"/>
      <c r="GF118" s="145"/>
      <c r="GG118" s="145"/>
      <c r="GH118" s="145"/>
      <c r="GI118" s="145"/>
      <c r="GJ118" s="145"/>
      <c r="GK118" s="145"/>
      <c r="GL118" s="145"/>
      <c r="GM118" s="145"/>
      <c r="GN118" s="145"/>
      <c r="GO118" s="145"/>
      <c r="GP118" s="145"/>
      <c r="GQ118" s="145"/>
      <c r="GR118" s="145"/>
      <c r="GS118" s="145"/>
      <c r="GT118" s="145"/>
      <c r="GU118" s="145"/>
      <c r="GV118" s="145"/>
      <c r="GW118" s="145"/>
      <c r="GX118" s="145"/>
      <c r="GY118" s="145"/>
      <c r="GZ118" s="145"/>
      <c r="HA118" s="145"/>
      <c r="HB118" s="145"/>
      <c r="HC118" s="145"/>
      <c r="HD118" s="145"/>
      <c r="HE118" s="145"/>
      <c r="HF118" s="145"/>
      <c r="HG118" s="145"/>
      <c r="HH118" s="145"/>
      <c r="HI118" s="145"/>
      <c r="HJ118" s="145"/>
      <c r="HK118" s="145"/>
      <c r="HL118" s="145"/>
      <c r="HM118" s="145"/>
      <c r="HN118" s="145"/>
      <c r="HO118" s="145"/>
      <c r="HP118" s="145"/>
      <c r="HQ118" s="145"/>
      <c r="HR118" s="145"/>
      <c r="HS118" s="145"/>
      <c r="HT118" s="145"/>
      <c r="HU118" s="145"/>
      <c r="HV118" s="145"/>
      <c r="HW118" s="145"/>
      <c r="HX118" s="145"/>
      <c r="HY118" s="145"/>
      <c r="HZ118" s="145"/>
      <c r="IA118" s="145"/>
      <c r="IB118" s="145"/>
      <c r="IC118" s="145"/>
      <c r="ID118" s="145"/>
      <c r="IE118" s="145"/>
      <c r="IF118" s="145"/>
      <c r="IG118" s="145"/>
      <c r="IH118" s="145"/>
      <c r="II118" s="145"/>
      <c r="IJ118" s="145"/>
      <c r="IK118" s="145"/>
      <c r="IL118" s="145"/>
      <c r="IM118" s="145"/>
      <c r="IN118" s="145"/>
      <c r="IO118" s="145"/>
      <c r="IP118" s="145"/>
      <c r="IQ118" s="145"/>
      <c r="IR118" s="145"/>
      <c r="IS118" s="145"/>
      <c r="IT118" s="145"/>
      <c r="IU118" s="145"/>
      <c r="IV118" s="145"/>
      <c r="IW118" s="145"/>
      <c r="IX118" s="145"/>
      <c r="IY118" s="145"/>
      <c r="IZ118" s="145"/>
      <c r="JA118" s="145"/>
      <c r="JB118" s="145"/>
      <c r="JC118" s="145"/>
      <c r="JD118" s="145"/>
      <c r="JE118" s="145"/>
      <c r="JF118" s="145"/>
      <c r="JG118" s="145"/>
      <c r="JH118" s="145"/>
      <c r="JI118" s="145"/>
      <c r="JJ118" s="145"/>
      <c r="JK118" s="145"/>
      <c r="JL118" s="145"/>
      <c r="JM118" s="145"/>
      <c r="JN118" s="145"/>
      <c r="JO118" s="145"/>
      <c r="JP118" s="145"/>
      <c r="JQ118" s="145"/>
      <c r="JR118" s="145"/>
      <c r="JS118" s="145"/>
      <c r="JT118" s="145"/>
      <c r="JU118" s="145"/>
      <c r="JV118" s="145"/>
      <c r="JW118" s="145"/>
      <c r="JX118" s="145"/>
      <c r="JY118" s="145"/>
      <c r="JZ118" s="145"/>
      <c r="KA118" s="145"/>
      <c r="KB118" s="145"/>
      <c r="KC118" s="145"/>
      <c r="KD118" s="145"/>
      <c r="KE118" s="145"/>
      <c r="KF118" s="145"/>
      <c r="KG118" s="145"/>
      <c r="KH118" s="145"/>
      <c r="KI118" s="145"/>
      <c r="KJ118" s="145"/>
      <c r="KK118" s="145"/>
      <c r="KL118" s="145"/>
      <c r="KM118" s="145"/>
      <c r="KN118" s="145"/>
      <c r="KO118" s="145"/>
      <c r="KP118" s="145"/>
      <c r="KQ118" s="145"/>
      <c r="KR118" s="145"/>
      <c r="KS118" s="145"/>
      <c r="KT118" s="145"/>
      <c r="KU118" s="145"/>
      <c r="KV118" s="145"/>
      <c r="KW118" s="145"/>
      <c r="KX118" s="145"/>
      <c r="KY118" s="145"/>
      <c r="KZ118" s="145"/>
      <c r="LA118" s="145"/>
      <c r="LB118" s="145"/>
      <c r="LC118" s="145"/>
      <c r="LD118" s="145"/>
      <c r="LE118" s="145"/>
      <c r="LF118" s="145"/>
      <c r="LG118" s="145"/>
      <c r="LH118" s="145"/>
      <c r="LI118" s="145"/>
      <c r="LJ118" s="145"/>
      <c r="LK118" s="145"/>
      <c r="LL118" s="145"/>
    </row>
    <row r="119" spans="1:324" x14ac:dyDescent="0.25">
      <c r="A119" s="1">
        <v>116</v>
      </c>
      <c r="B119" s="79">
        <v>45925</v>
      </c>
      <c r="C119" s="80">
        <v>0.87291666666666667</v>
      </c>
      <c r="D119" s="81"/>
      <c r="E119" s="81"/>
      <c r="F119" s="81"/>
      <c r="G119" s="81" t="s">
        <v>147</v>
      </c>
      <c r="H119" s="81" t="s">
        <v>147</v>
      </c>
      <c r="I119" s="79"/>
      <c r="J119" s="81" t="s">
        <v>122</v>
      </c>
      <c r="K119" s="81">
        <v>40</v>
      </c>
      <c r="L119" s="81">
        <v>2</v>
      </c>
      <c r="M119" s="81" t="s">
        <v>113</v>
      </c>
      <c r="N119" s="81">
        <v>4020</v>
      </c>
      <c r="O119" s="81">
        <v>52</v>
      </c>
      <c r="P119" s="81">
        <v>34.5</v>
      </c>
      <c r="Q119" s="81">
        <v>2</v>
      </c>
      <c r="R119" s="81" t="s">
        <v>110</v>
      </c>
      <c r="S119" s="81" t="s">
        <v>110</v>
      </c>
      <c r="T119" s="81" t="s">
        <v>110</v>
      </c>
      <c r="U119" s="81" t="s">
        <v>124</v>
      </c>
      <c r="V119" s="1"/>
      <c r="W119" s="81">
        <v>9</v>
      </c>
      <c r="X119" s="81">
        <v>10</v>
      </c>
      <c r="Y119" s="81" t="s">
        <v>111</v>
      </c>
      <c r="Z119" s="81" t="s">
        <v>111</v>
      </c>
      <c r="AA119" s="81" t="s">
        <v>111</v>
      </c>
      <c r="AB119" s="81" t="s">
        <v>111</v>
      </c>
      <c r="AC119" s="81" t="s">
        <v>111</v>
      </c>
      <c r="AD119" s="81" t="s">
        <v>110</v>
      </c>
      <c r="AE119" s="81" t="s">
        <v>111</v>
      </c>
      <c r="AF119" s="81" t="s">
        <v>111</v>
      </c>
      <c r="AG119" s="81" t="s">
        <v>142</v>
      </c>
      <c r="AH119" s="81" t="s">
        <v>111</v>
      </c>
      <c r="AI119" s="81" t="s">
        <v>125</v>
      </c>
      <c r="AJ119" s="81" t="s">
        <v>111</v>
      </c>
      <c r="AK119" s="81">
        <v>23</v>
      </c>
      <c r="AL119" s="81" t="s">
        <v>111</v>
      </c>
      <c r="AM119" s="81" t="s">
        <v>111</v>
      </c>
      <c r="AN119" s="81" t="s">
        <v>243</v>
      </c>
      <c r="AO119" s="81" t="s">
        <v>111</v>
      </c>
      <c r="AP119" s="81"/>
      <c r="AQ119" s="101" t="s">
        <v>110</v>
      </c>
      <c r="AR119" s="1" t="s">
        <v>131</v>
      </c>
      <c r="AS119" s="1"/>
      <c r="AT119" s="83"/>
    </row>
    <row r="120" spans="1:324" x14ac:dyDescent="0.25">
      <c r="A120" s="1">
        <v>117</v>
      </c>
      <c r="B120" s="79">
        <v>45925</v>
      </c>
      <c r="C120" s="80">
        <v>0.89513888888888893</v>
      </c>
      <c r="D120" s="81"/>
      <c r="E120" s="81"/>
      <c r="F120" s="81"/>
      <c r="G120" s="81" t="s">
        <v>162</v>
      </c>
      <c r="H120" s="81" t="s">
        <v>162</v>
      </c>
      <c r="I120" s="79"/>
      <c r="J120" s="81" t="s">
        <v>127</v>
      </c>
      <c r="K120" s="81">
        <v>40</v>
      </c>
      <c r="L120" s="81">
        <v>0</v>
      </c>
      <c r="M120" s="81" t="s">
        <v>123</v>
      </c>
      <c r="N120" s="81">
        <v>4330</v>
      </c>
      <c r="O120" s="81">
        <v>52</v>
      </c>
      <c r="P120" s="81">
        <v>36</v>
      </c>
      <c r="Q120" s="81">
        <v>4</v>
      </c>
      <c r="R120" s="81" t="s">
        <v>110</v>
      </c>
      <c r="S120" s="81" t="s">
        <v>110</v>
      </c>
      <c r="T120" s="81" t="s">
        <v>110</v>
      </c>
      <c r="U120" s="81" t="s">
        <v>191</v>
      </c>
      <c r="V120" s="1"/>
      <c r="W120" s="81">
        <v>8</v>
      </c>
      <c r="X120" s="81">
        <v>9</v>
      </c>
      <c r="Y120" s="81" t="s">
        <v>111</v>
      </c>
      <c r="Z120" s="81" t="s">
        <v>111</v>
      </c>
      <c r="AA120" s="81" t="s">
        <v>111</v>
      </c>
      <c r="AB120" s="81" t="s">
        <v>111</v>
      </c>
      <c r="AC120" s="81" t="s">
        <v>111</v>
      </c>
      <c r="AD120" s="81" t="s">
        <v>110</v>
      </c>
      <c r="AE120" s="81" t="s">
        <v>111</v>
      </c>
      <c r="AF120" s="81" t="s">
        <v>111</v>
      </c>
      <c r="AG120" s="81" t="s">
        <v>142</v>
      </c>
      <c r="AH120" s="81" t="s">
        <v>111</v>
      </c>
      <c r="AI120" s="81" t="s">
        <v>125</v>
      </c>
      <c r="AJ120" s="81" t="s">
        <v>111</v>
      </c>
      <c r="AK120" s="81">
        <v>28</v>
      </c>
      <c r="AL120" s="81" t="s">
        <v>111</v>
      </c>
      <c r="AM120" s="81" t="s">
        <v>111</v>
      </c>
      <c r="AN120" s="81" t="s">
        <v>251</v>
      </c>
      <c r="AO120" s="81" t="s">
        <v>111</v>
      </c>
      <c r="AP120" s="81"/>
      <c r="AQ120" s="101" t="s">
        <v>110</v>
      </c>
      <c r="AR120" s="1" t="s">
        <v>131</v>
      </c>
      <c r="AS120" s="1"/>
      <c r="AT120" s="83" t="s">
        <v>110</v>
      </c>
    </row>
    <row r="121" spans="1:324" x14ac:dyDescent="0.25">
      <c r="A121" s="1">
        <v>118</v>
      </c>
      <c r="B121" s="79">
        <v>45926</v>
      </c>
      <c r="C121" s="80">
        <v>0.47500000000000003</v>
      </c>
      <c r="D121" s="81"/>
      <c r="E121" s="81"/>
      <c r="F121" s="81"/>
      <c r="G121" s="81" t="s">
        <v>114</v>
      </c>
      <c r="H121" s="81" t="s">
        <v>177</v>
      </c>
      <c r="I121" s="79"/>
      <c r="J121" s="81" t="s">
        <v>129</v>
      </c>
      <c r="K121" s="81">
        <v>38</v>
      </c>
      <c r="L121" s="81">
        <v>1</v>
      </c>
      <c r="M121" s="81" t="s">
        <v>113</v>
      </c>
      <c r="N121" s="81">
        <v>3550</v>
      </c>
      <c r="O121" s="81">
        <v>49</v>
      </c>
      <c r="P121" s="81">
        <v>35</v>
      </c>
      <c r="Q121" s="81">
        <v>4</v>
      </c>
      <c r="R121" s="81" t="s">
        <v>110</v>
      </c>
      <c r="S121" s="81" t="s">
        <v>110</v>
      </c>
      <c r="T121" s="81" t="s">
        <v>110</v>
      </c>
      <c r="U121" s="81" t="s">
        <v>135</v>
      </c>
      <c r="V121" s="1"/>
      <c r="W121" s="81">
        <v>9</v>
      </c>
      <c r="X121" s="81">
        <v>10</v>
      </c>
      <c r="Y121" s="81" t="s">
        <v>111</v>
      </c>
      <c r="Z121" s="81" t="s">
        <v>111</v>
      </c>
      <c r="AA121" s="81" t="s">
        <v>111</v>
      </c>
      <c r="AB121" s="81" t="s">
        <v>110</v>
      </c>
      <c r="AC121" s="81" t="s">
        <v>111</v>
      </c>
      <c r="AD121" s="81" t="s">
        <v>110</v>
      </c>
      <c r="AE121" s="81" t="s">
        <v>111</v>
      </c>
      <c r="AF121" s="81" t="s">
        <v>111</v>
      </c>
      <c r="AG121" s="81" t="s">
        <v>142</v>
      </c>
      <c r="AH121" s="81" t="s">
        <v>111</v>
      </c>
      <c r="AI121" s="81" t="s">
        <v>125</v>
      </c>
      <c r="AJ121" s="81" t="s">
        <v>111</v>
      </c>
      <c r="AK121" s="81">
        <v>34</v>
      </c>
      <c r="AL121" s="81" t="s">
        <v>111</v>
      </c>
      <c r="AM121" s="81" t="s">
        <v>111</v>
      </c>
      <c r="AN121" s="81" t="s">
        <v>136</v>
      </c>
      <c r="AO121" s="81" t="s">
        <v>111</v>
      </c>
      <c r="AP121" s="81"/>
      <c r="AQ121" s="101" t="s">
        <v>110</v>
      </c>
      <c r="AR121" s="1" t="s">
        <v>131</v>
      </c>
      <c r="AS121" s="1"/>
      <c r="AT121" s="83" t="s">
        <v>110</v>
      </c>
    </row>
    <row r="122" spans="1:324" x14ac:dyDescent="0.25">
      <c r="A122" s="1">
        <v>119</v>
      </c>
      <c r="B122" s="79">
        <v>45926</v>
      </c>
      <c r="C122" s="80">
        <v>0.54583333333333328</v>
      </c>
      <c r="D122" s="81"/>
      <c r="E122" s="81"/>
      <c r="F122" s="81"/>
      <c r="G122" s="81" t="s">
        <v>159</v>
      </c>
      <c r="H122" s="81" t="s">
        <v>159</v>
      </c>
      <c r="I122" s="79"/>
      <c r="J122" s="81" t="s">
        <v>122</v>
      </c>
      <c r="K122" s="81">
        <v>39</v>
      </c>
      <c r="L122" s="81">
        <v>3</v>
      </c>
      <c r="M122" s="81" t="s">
        <v>113</v>
      </c>
      <c r="N122" s="81">
        <v>4005</v>
      </c>
      <c r="O122" s="81">
        <v>50.5</v>
      </c>
      <c r="P122" s="81">
        <v>36</v>
      </c>
      <c r="Q122" s="81">
        <v>4</v>
      </c>
      <c r="R122" s="81" t="s">
        <v>110</v>
      </c>
      <c r="S122" s="81" t="s">
        <v>110</v>
      </c>
      <c r="T122" s="81" t="s">
        <v>110</v>
      </c>
      <c r="U122" s="81" t="s">
        <v>135</v>
      </c>
      <c r="V122" s="1"/>
      <c r="W122" s="81">
        <v>9</v>
      </c>
      <c r="X122" s="81">
        <v>9</v>
      </c>
      <c r="Y122" s="81" t="s">
        <v>111</v>
      </c>
      <c r="Z122" s="81" t="s">
        <v>111</v>
      </c>
      <c r="AA122" s="81" t="s">
        <v>111</v>
      </c>
      <c r="AB122" s="81" t="s">
        <v>111</v>
      </c>
      <c r="AC122" s="81" t="s">
        <v>111</v>
      </c>
      <c r="AD122" s="81" t="s">
        <v>110</v>
      </c>
      <c r="AE122" s="81" t="s">
        <v>111</v>
      </c>
      <c r="AF122" s="81" t="s">
        <v>111</v>
      </c>
      <c r="AG122" s="81" t="s">
        <v>142</v>
      </c>
      <c r="AH122" s="81" t="s">
        <v>111</v>
      </c>
      <c r="AI122" s="81" t="s">
        <v>125</v>
      </c>
      <c r="AJ122" s="81" t="s">
        <v>111</v>
      </c>
      <c r="AK122" s="81">
        <v>33</v>
      </c>
      <c r="AL122" s="81" t="s">
        <v>111</v>
      </c>
      <c r="AM122" s="81" t="s">
        <v>111</v>
      </c>
      <c r="AN122" s="81" t="s">
        <v>196</v>
      </c>
      <c r="AO122" s="81" t="s">
        <v>111</v>
      </c>
      <c r="AP122" s="81"/>
      <c r="AQ122" s="101" t="s">
        <v>110</v>
      </c>
      <c r="AR122" s="1" t="s">
        <v>112</v>
      </c>
      <c r="AS122" s="1"/>
      <c r="AT122" s="83"/>
    </row>
    <row r="123" spans="1:324" x14ac:dyDescent="0.25">
      <c r="A123" s="1">
        <v>120</v>
      </c>
      <c r="B123" s="79">
        <v>45927</v>
      </c>
      <c r="C123" s="80">
        <v>0.36388888888888887</v>
      </c>
      <c r="D123" s="81"/>
      <c r="E123" s="81"/>
      <c r="F123" s="81"/>
      <c r="G123" s="81" t="s">
        <v>114</v>
      </c>
      <c r="H123" s="81" t="s">
        <v>149</v>
      </c>
      <c r="I123" s="79"/>
      <c r="J123" s="81" t="s">
        <v>122</v>
      </c>
      <c r="K123" s="81">
        <v>25</v>
      </c>
      <c r="L123" s="81">
        <v>2</v>
      </c>
      <c r="M123" s="81" t="s">
        <v>123</v>
      </c>
      <c r="N123" s="81">
        <v>950</v>
      </c>
      <c r="O123" s="81">
        <v>37</v>
      </c>
      <c r="P123" s="81">
        <v>23</v>
      </c>
      <c r="Q123" s="81">
        <v>1</v>
      </c>
      <c r="R123" s="81" t="s">
        <v>110</v>
      </c>
      <c r="S123" s="81" t="s">
        <v>110</v>
      </c>
      <c r="T123" s="81" t="s">
        <v>110</v>
      </c>
      <c r="U123" s="81" t="s">
        <v>157</v>
      </c>
      <c r="V123" s="1"/>
      <c r="W123" s="81">
        <v>4</v>
      </c>
      <c r="X123" s="81">
        <v>7</v>
      </c>
      <c r="Y123" s="81" t="s">
        <v>110</v>
      </c>
      <c r="Z123" s="81" t="s">
        <v>110</v>
      </c>
      <c r="AA123" s="81" t="s">
        <v>111</v>
      </c>
      <c r="AB123" s="81" t="s">
        <v>111</v>
      </c>
      <c r="AC123" s="81" t="s">
        <v>111</v>
      </c>
      <c r="AD123" s="81" t="s">
        <v>111</v>
      </c>
      <c r="AE123" s="81" t="s">
        <v>111</v>
      </c>
      <c r="AF123" s="81" t="s">
        <v>111</v>
      </c>
      <c r="AG123" s="81" t="s">
        <v>142</v>
      </c>
      <c r="AH123" s="81" t="s">
        <v>111</v>
      </c>
      <c r="AI123" s="81" t="s">
        <v>125</v>
      </c>
      <c r="AJ123" s="81" t="s">
        <v>111</v>
      </c>
      <c r="AK123" s="81">
        <v>29</v>
      </c>
      <c r="AL123" s="81" t="s">
        <v>111</v>
      </c>
      <c r="AM123" s="81" t="s">
        <v>111</v>
      </c>
      <c r="AN123" s="81" t="s">
        <v>271</v>
      </c>
      <c r="AO123" s="81" t="s">
        <v>111</v>
      </c>
      <c r="AP123" s="81"/>
      <c r="AQ123" s="101" t="s">
        <v>111</v>
      </c>
      <c r="AR123" s="1" t="s">
        <v>241</v>
      </c>
      <c r="AS123" s="1"/>
      <c r="AT123" s="83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  <c r="BX123" s="71"/>
      <c r="BY123" s="71"/>
      <c r="BZ123" s="71"/>
      <c r="CA123" s="71"/>
      <c r="CB123" s="71"/>
      <c r="CC123" s="71"/>
      <c r="CD123" s="71"/>
      <c r="CE123" s="71"/>
      <c r="CF123" s="71"/>
      <c r="CG123" s="71"/>
      <c r="CH123" s="71"/>
      <c r="CI123" s="71"/>
      <c r="CJ123" s="71"/>
      <c r="CK123" s="71"/>
      <c r="CL123" s="71"/>
      <c r="CM123" s="71"/>
      <c r="CN123" s="71"/>
      <c r="CO123" s="71"/>
      <c r="CP123" s="71"/>
      <c r="CQ123" s="71"/>
      <c r="CR123" s="71"/>
      <c r="CS123" s="71"/>
      <c r="CT123" s="71"/>
      <c r="CU123" s="71"/>
      <c r="CV123" s="71"/>
      <c r="CW123" s="71"/>
      <c r="CX123" s="71"/>
      <c r="CY123" s="71"/>
      <c r="CZ123" s="71"/>
      <c r="DA123" s="71"/>
      <c r="DB123" s="71"/>
      <c r="DC123" s="71"/>
      <c r="DD123" s="71"/>
      <c r="DE123" s="71"/>
      <c r="DF123" s="71"/>
      <c r="DG123" s="71"/>
      <c r="DH123" s="71"/>
      <c r="DI123" s="71"/>
      <c r="DJ123" s="71"/>
      <c r="DK123" s="71"/>
      <c r="DL123" s="71"/>
      <c r="DM123" s="71"/>
      <c r="DN123" s="71"/>
      <c r="DO123" s="71"/>
      <c r="DP123" s="71"/>
      <c r="DQ123" s="71"/>
      <c r="DR123" s="71"/>
      <c r="DS123" s="71"/>
      <c r="DT123" s="71"/>
      <c r="DU123" s="71"/>
      <c r="DV123" s="71"/>
      <c r="DW123" s="71"/>
      <c r="DX123" s="71"/>
      <c r="DY123" s="71"/>
      <c r="DZ123" s="71"/>
      <c r="EA123" s="71"/>
      <c r="EB123" s="71"/>
      <c r="EC123" s="71"/>
      <c r="ED123" s="71"/>
      <c r="EE123" s="71"/>
      <c r="EF123" s="71"/>
      <c r="EG123" s="71"/>
      <c r="EH123" s="71"/>
      <c r="EI123" s="71"/>
      <c r="EJ123" s="71"/>
      <c r="EK123" s="71"/>
      <c r="EL123" s="71"/>
      <c r="EM123" s="71"/>
      <c r="EN123" s="71"/>
      <c r="EO123" s="71"/>
      <c r="EP123" s="71"/>
      <c r="EQ123" s="71"/>
      <c r="ER123" s="71"/>
      <c r="ES123" s="71"/>
      <c r="ET123" s="71"/>
      <c r="EU123" s="71"/>
      <c r="EV123" s="71"/>
      <c r="EW123" s="71"/>
      <c r="EX123" s="71"/>
      <c r="EY123" s="71"/>
      <c r="EZ123" s="71"/>
      <c r="FA123" s="71"/>
      <c r="FB123" s="71"/>
      <c r="FC123" s="71"/>
      <c r="FD123" s="71"/>
      <c r="FE123" s="71"/>
      <c r="FF123" s="71"/>
      <c r="FG123" s="71"/>
      <c r="FH123" s="71"/>
      <c r="FI123" s="71"/>
      <c r="FJ123" s="71"/>
      <c r="FK123" s="71"/>
      <c r="FL123" s="71"/>
      <c r="FM123" s="71"/>
      <c r="FN123" s="71"/>
      <c r="FO123" s="71"/>
      <c r="FP123" s="71"/>
      <c r="FQ123" s="71"/>
      <c r="FR123" s="71"/>
      <c r="FS123" s="71"/>
      <c r="FT123" s="71"/>
      <c r="FU123" s="71"/>
      <c r="FV123" s="71"/>
      <c r="FW123" s="71"/>
      <c r="FX123" s="71"/>
      <c r="FY123" s="71"/>
      <c r="FZ123" s="71"/>
      <c r="GA123" s="71"/>
      <c r="GB123" s="71"/>
      <c r="GC123" s="71"/>
      <c r="GD123" s="71"/>
      <c r="GE123" s="71"/>
      <c r="GF123" s="71"/>
      <c r="GG123" s="71"/>
      <c r="GH123" s="71"/>
      <c r="GI123" s="71"/>
      <c r="GJ123" s="71"/>
      <c r="GK123" s="71"/>
      <c r="GL123" s="71"/>
      <c r="GM123" s="71"/>
      <c r="GN123" s="71"/>
      <c r="GO123" s="71"/>
      <c r="GP123" s="71"/>
      <c r="GQ123" s="71"/>
      <c r="GR123" s="71"/>
      <c r="GS123" s="71"/>
      <c r="GT123" s="71"/>
      <c r="GU123" s="71"/>
      <c r="GV123" s="71"/>
      <c r="GW123" s="71"/>
      <c r="GX123" s="71"/>
      <c r="GY123" s="71"/>
      <c r="GZ123" s="71"/>
      <c r="HA123" s="71"/>
      <c r="HB123" s="71"/>
      <c r="HC123" s="71"/>
      <c r="HD123" s="71"/>
      <c r="HE123" s="71"/>
      <c r="HF123" s="71"/>
      <c r="HG123" s="71"/>
      <c r="HH123" s="71"/>
      <c r="HI123" s="71"/>
      <c r="HJ123" s="71"/>
      <c r="HK123" s="71"/>
      <c r="HL123" s="71"/>
      <c r="HM123" s="71"/>
      <c r="HN123" s="71"/>
      <c r="HO123" s="71"/>
      <c r="HP123" s="71"/>
      <c r="HQ123" s="71"/>
      <c r="HR123" s="71"/>
      <c r="HS123" s="71"/>
      <c r="HT123" s="71"/>
      <c r="HU123" s="71"/>
      <c r="HV123" s="71"/>
      <c r="HW123" s="71"/>
      <c r="HX123" s="71"/>
      <c r="HY123" s="71"/>
      <c r="HZ123" s="71"/>
      <c r="IA123" s="71"/>
      <c r="IB123" s="71"/>
      <c r="IC123" s="71"/>
      <c r="ID123" s="71"/>
      <c r="IE123" s="71"/>
      <c r="IF123" s="71"/>
      <c r="IG123" s="71"/>
      <c r="IH123" s="71"/>
      <c r="II123" s="71"/>
      <c r="IJ123" s="71"/>
      <c r="IK123" s="71"/>
      <c r="IL123" s="71"/>
      <c r="IM123" s="71"/>
      <c r="IN123" s="71"/>
      <c r="IO123" s="71"/>
      <c r="IP123" s="71"/>
      <c r="IQ123" s="71"/>
      <c r="IR123" s="71"/>
      <c r="IS123" s="71"/>
      <c r="IT123" s="71"/>
      <c r="IU123" s="71"/>
      <c r="IV123" s="71"/>
      <c r="IW123" s="71"/>
      <c r="IX123" s="71"/>
      <c r="IY123" s="71"/>
      <c r="IZ123" s="71"/>
      <c r="JA123" s="71"/>
      <c r="JB123" s="71"/>
      <c r="JC123" s="71"/>
      <c r="JD123" s="71"/>
      <c r="JE123" s="71"/>
      <c r="JF123" s="71"/>
      <c r="JG123" s="71"/>
      <c r="JH123" s="71"/>
      <c r="JI123" s="71"/>
      <c r="JJ123" s="71"/>
      <c r="JK123" s="71"/>
      <c r="JL123" s="71"/>
      <c r="JM123" s="71"/>
      <c r="JN123" s="71"/>
      <c r="JO123" s="71"/>
      <c r="JP123" s="71"/>
      <c r="JQ123" s="71"/>
      <c r="JR123" s="71"/>
      <c r="JS123" s="71"/>
      <c r="JT123" s="71"/>
      <c r="JU123" s="71"/>
      <c r="JV123" s="71"/>
      <c r="JW123" s="71"/>
      <c r="JX123" s="71"/>
      <c r="JY123" s="71"/>
      <c r="JZ123" s="71"/>
      <c r="KA123" s="71"/>
      <c r="KB123" s="71"/>
      <c r="KC123" s="71"/>
      <c r="KD123" s="71"/>
      <c r="KE123" s="71"/>
      <c r="KF123" s="71"/>
      <c r="KG123" s="71"/>
      <c r="KH123" s="71"/>
      <c r="KI123" s="71"/>
      <c r="KJ123" s="71"/>
      <c r="KK123" s="71"/>
      <c r="KL123" s="71"/>
      <c r="KM123" s="71"/>
      <c r="KN123" s="71"/>
      <c r="KO123" s="71"/>
      <c r="KP123" s="71"/>
      <c r="KQ123" s="71"/>
      <c r="KR123" s="71"/>
      <c r="KS123" s="71"/>
      <c r="KT123" s="71"/>
      <c r="KU123" s="71"/>
      <c r="KV123" s="71"/>
      <c r="KW123" s="71"/>
      <c r="KX123" s="71"/>
      <c r="KY123" s="71"/>
      <c r="KZ123" s="71"/>
      <c r="LA123" s="71"/>
      <c r="LB123" s="71"/>
      <c r="LC123" s="71"/>
      <c r="LD123" s="71"/>
      <c r="LE123" s="71"/>
      <c r="LF123" s="71"/>
      <c r="LG123" s="71"/>
      <c r="LH123" s="71"/>
      <c r="LI123" s="71"/>
      <c r="LJ123" s="71"/>
      <c r="LK123" s="71"/>
      <c r="LL123" s="71"/>
    </row>
    <row r="124" spans="1:324" x14ac:dyDescent="0.25">
      <c r="A124" s="1">
        <v>121</v>
      </c>
      <c r="B124" s="79">
        <v>45927</v>
      </c>
      <c r="C124" s="80">
        <v>0.8305555555555556</v>
      </c>
      <c r="D124" s="81"/>
      <c r="E124" s="81"/>
      <c r="F124" s="81"/>
      <c r="G124" s="81" t="s">
        <v>114</v>
      </c>
      <c r="H124" s="81" t="s">
        <v>177</v>
      </c>
      <c r="I124" s="79"/>
      <c r="J124" s="81" t="s">
        <v>122</v>
      </c>
      <c r="K124" s="81">
        <v>37</v>
      </c>
      <c r="L124" s="81">
        <v>0</v>
      </c>
      <c r="M124" s="81" t="s">
        <v>113</v>
      </c>
      <c r="N124" s="81">
        <v>3310</v>
      </c>
      <c r="O124" s="81">
        <v>48</v>
      </c>
      <c r="P124" s="81">
        <v>34.5</v>
      </c>
      <c r="Q124" s="81">
        <v>4</v>
      </c>
      <c r="R124" s="81" t="s">
        <v>110</v>
      </c>
      <c r="S124" s="81" t="s">
        <v>110</v>
      </c>
      <c r="T124" s="81" t="s">
        <v>110</v>
      </c>
      <c r="U124" s="81" t="s">
        <v>135</v>
      </c>
      <c r="V124" s="1"/>
      <c r="W124" s="81">
        <v>9</v>
      </c>
      <c r="X124" s="81">
        <v>9</v>
      </c>
      <c r="Y124" s="81" t="s">
        <v>111</v>
      </c>
      <c r="Z124" s="81" t="s">
        <v>111</v>
      </c>
      <c r="AA124" s="81" t="s">
        <v>111</v>
      </c>
      <c r="AB124" s="81" t="s">
        <v>111</v>
      </c>
      <c r="AC124" s="81" t="s">
        <v>111</v>
      </c>
      <c r="AD124" s="81" t="s">
        <v>110</v>
      </c>
      <c r="AE124" s="81" t="s">
        <v>111</v>
      </c>
      <c r="AF124" s="81" t="s">
        <v>111</v>
      </c>
      <c r="AG124" s="81" t="s">
        <v>142</v>
      </c>
      <c r="AH124" s="81" t="s">
        <v>111</v>
      </c>
      <c r="AI124" s="81" t="s">
        <v>125</v>
      </c>
      <c r="AJ124" s="81" t="s">
        <v>111</v>
      </c>
      <c r="AK124" s="81">
        <v>31</v>
      </c>
      <c r="AL124" s="81" t="s">
        <v>111</v>
      </c>
      <c r="AM124" s="81" t="s">
        <v>111</v>
      </c>
      <c r="AN124" s="81" t="s">
        <v>272</v>
      </c>
      <c r="AO124" s="81" t="s">
        <v>111</v>
      </c>
      <c r="AP124" s="81"/>
      <c r="AQ124" s="101" t="s">
        <v>110</v>
      </c>
      <c r="AR124" s="1" t="s">
        <v>112</v>
      </c>
      <c r="AS124" s="1"/>
      <c r="AT124" s="83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  <c r="BL124" s="71"/>
      <c r="BM124" s="71"/>
      <c r="BN124" s="71"/>
      <c r="BO124" s="71"/>
      <c r="BP124" s="71"/>
      <c r="BQ124" s="71"/>
      <c r="BR124" s="71"/>
      <c r="BS124" s="71"/>
      <c r="BT124" s="71"/>
      <c r="BU124" s="71"/>
      <c r="BV124" s="71"/>
      <c r="BW124" s="71"/>
      <c r="BX124" s="71"/>
      <c r="BY124" s="71"/>
      <c r="BZ124" s="71"/>
      <c r="CA124" s="71"/>
      <c r="CB124" s="71"/>
      <c r="CC124" s="71"/>
      <c r="CD124" s="71"/>
      <c r="CE124" s="71"/>
      <c r="CF124" s="71"/>
      <c r="CG124" s="71"/>
      <c r="CH124" s="71"/>
      <c r="CI124" s="71"/>
      <c r="CJ124" s="71"/>
      <c r="CK124" s="71"/>
      <c r="CL124" s="71"/>
      <c r="CM124" s="71"/>
      <c r="CN124" s="71"/>
      <c r="CO124" s="71"/>
      <c r="CP124" s="71"/>
      <c r="CQ124" s="71"/>
      <c r="CR124" s="71"/>
      <c r="CS124" s="71"/>
      <c r="CT124" s="71"/>
      <c r="CU124" s="71"/>
      <c r="CV124" s="71"/>
      <c r="CW124" s="71"/>
      <c r="CX124" s="71"/>
      <c r="CY124" s="71"/>
      <c r="CZ124" s="71"/>
      <c r="DA124" s="71"/>
      <c r="DB124" s="71"/>
      <c r="DC124" s="71"/>
      <c r="DD124" s="71"/>
      <c r="DE124" s="71"/>
      <c r="DF124" s="71"/>
      <c r="DG124" s="71"/>
      <c r="DH124" s="71"/>
      <c r="DI124" s="71"/>
      <c r="DJ124" s="71"/>
      <c r="DK124" s="71"/>
      <c r="DL124" s="71"/>
      <c r="DM124" s="71"/>
      <c r="DN124" s="71"/>
      <c r="DO124" s="71"/>
      <c r="DP124" s="71"/>
      <c r="DQ124" s="71"/>
      <c r="DR124" s="71"/>
      <c r="DS124" s="71"/>
      <c r="DT124" s="71"/>
      <c r="DU124" s="71"/>
      <c r="DV124" s="71"/>
      <c r="DW124" s="71"/>
      <c r="DX124" s="71"/>
      <c r="DY124" s="71"/>
      <c r="DZ124" s="71"/>
      <c r="EA124" s="71"/>
      <c r="EB124" s="71"/>
      <c r="EC124" s="71"/>
      <c r="ED124" s="71"/>
      <c r="EE124" s="71"/>
      <c r="EF124" s="71"/>
      <c r="EG124" s="71"/>
      <c r="EH124" s="71"/>
      <c r="EI124" s="71"/>
      <c r="EJ124" s="71"/>
      <c r="EK124" s="71"/>
      <c r="EL124" s="71"/>
      <c r="EM124" s="71"/>
      <c r="EN124" s="71"/>
      <c r="EO124" s="71"/>
      <c r="EP124" s="71"/>
      <c r="EQ124" s="71"/>
      <c r="ER124" s="71"/>
      <c r="ES124" s="71"/>
      <c r="ET124" s="71"/>
      <c r="EU124" s="71"/>
      <c r="EV124" s="71"/>
      <c r="EW124" s="71"/>
      <c r="EX124" s="71"/>
      <c r="EY124" s="71"/>
      <c r="EZ124" s="71"/>
      <c r="FA124" s="71"/>
      <c r="FB124" s="71"/>
      <c r="FC124" s="71"/>
      <c r="FD124" s="71"/>
      <c r="FE124" s="71"/>
      <c r="FF124" s="71"/>
      <c r="FG124" s="71"/>
      <c r="FH124" s="71"/>
      <c r="FI124" s="71"/>
      <c r="FJ124" s="71"/>
      <c r="FK124" s="71"/>
      <c r="FL124" s="71"/>
      <c r="FM124" s="71"/>
      <c r="FN124" s="71"/>
      <c r="FO124" s="71"/>
      <c r="FP124" s="71"/>
      <c r="FQ124" s="71"/>
      <c r="FR124" s="71"/>
      <c r="FS124" s="71"/>
      <c r="FT124" s="71"/>
      <c r="FU124" s="71"/>
      <c r="FV124" s="71"/>
      <c r="FW124" s="71"/>
      <c r="FX124" s="71"/>
      <c r="FY124" s="71"/>
      <c r="FZ124" s="71"/>
      <c r="GA124" s="71"/>
      <c r="GB124" s="71"/>
      <c r="GC124" s="71"/>
      <c r="GD124" s="71"/>
      <c r="GE124" s="71"/>
      <c r="GF124" s="71"/>
      <c r="GG124" s="71"/>
      <c r="GH124" s="71"/>
      <c r="GI124" s="71"/>
      <c r="GJ124" s="71"/>
      <c r="GK124" s="71"/>
      <c r="GL124" s="71"/>
      <c r="GM124" s="71"/>
      <c r="GN124" s="71"/>
      <c r="GO124" s="71"/>
      <c r="GP124" s="71"/>
      <c r="GQ124" s="71"/>
      <c r="GR124" s="71"/>
      <c r="GS124" s="71"/>
      <c r="GT124" s="71"/>
      <c r="GU124" s="71"/>
      <c r="GV124" s="71"/>
      <c r="GW124" s="71"/>
      <c r="GX124" s="71"/>
      <c r="GY124" s="71"/>
      <c r="GZ124" s="71"/>
      <c r="HA124" s="71"/>
      <c r="HB124" s="71"/>
      <c r="HC124" s="71"/>
      <c r="HD124" s="71"/>
      <c r="HE124" s="71"/>
      <c r="HF124" s="71"/>
      <c r="HG124" s="71"/>
      <c r="HH124" s="71"/>
      <c r="HI124" s="71"/>
      <c r="HJ124" s="71"/>
      <c r="HK124" s="71"/>
      <c r="HL124" s="71"/>
      <c r="HM124" s="71"/>
      <c r="HN124" s="71"/>
      <c r="HO124" s="71"/>
      <c r="HP124" s="71"/>
      <c r="HQ124" s="71"/>
      <c r="HR124" s="71"/>
      <c r="HS124" s="71"/>
      <c r="HT124" s="71"/>
      <c r="HU124" s="71"/>
      <c r="HV124" s="71"/>
      <c r="HW124" s="71"/>
      <c r="HX124" s="71"/>
      <c r="HY124" s="71"/>
      <c r="HZ124" s="71"/>
      <c r="IA124" s="71"/>
      <c r="IB124" s="71"/>
      <c r="IC124" s="71"/>
      <c r="ID124" s="71"/>
      <c r="IE124" s="71"/>
      <c r="IF124" s="71"/>
      <c r="IG124" s="71"/>
      <c r="IH124" s="71"/>
      <c r="II124" s="71"/>
      <c r="IJ124" s="71"/>
      <c r="IK124" s="71"/>
      <c r="IL124" s="71"/>
      <c r="IM124" s="71"/>
      <c r="IN124" s="71"/>
      <c r="IO124" s="71"/>
      <c r="IP124" s="71"/>
      <c r="IQ124" s="71"/>
      <c r="IR124" s="71"/>
      <c r="IS124" s="71"/>
      <c r="IT124" s="71"/>
      <c r="IU124" s="71"/>
      <c r="IV124" s="71"/>
      <c r="IW124" s="71"/>
      <c r="IX124" s="71"/>
      <c r="IY124" s="71"/>
      <c r="IZ124" s="71"/>
      <c r="JA124" s="71"/>
      <c r="JB124" s="71"/>
      <c r="JC124" s="71"/>
      <c r="JD124" s="71"/>
      <c r="JE124" s="71"/>
      <c r="JF124" s="71"/>
      <c r="JG124" s="71"/>
      <c r="JH124" s="71"/>
      <c r="JI124" s="71"/>
      <c r="JJ124" s="71"/>
      <c r="JK124" s="71"/>
      <c r="JL124" s="71"/>
      <c r="JM124" s="71"/>
      <c r="JN124" s="71"/>
      <c r="JO124" s="71"/>
      <c r="JP124" s="71"/>
      <c r="JQ124" s="71"/>
      <c r="JR124" s="71"/>
      <c r="JS124" s="71"/>
      <c r="JT124" s="71"/>
      <c r="JU124" s="71"/>
      <c r="JV124" s="71"/>
      <c r="JW124" s="71"/>
      <c r="JX124" s="71"/>
      <c r="JY124" s="71"/>
      <c r="JZ124" s="71"/>
      <c r="KA124" s="71"/>
      <c r="KB124" s="71"/>
      <c r="KC124" s="71"/>
      <c r="KD124" s="71"/>
      <c r="KE124" s="71"/>
      <c r="KF124" s="71"/>
      <c r="KG124" s="71"/>
      <c r="KH124" s="71"/>
      <c r="KI124" s="71"/>
      <c r="KJ124" s="71"/>
      <c r="KK124" s="71"/>
      <c r="KL124" s="71"/>
      <c r="KM124" s="71"/>
      <c r="KN124" s="71"/>
      <c r="KO124" s="71"/>
      <c r="KP124" s="71"/>
      <c r="KQ124" s="71"/>
      <c r="KR124" s="71"/>
      <c r="KS124" s="71"/>
      <c r="KT124" s="71"/>
      <c r="KU124" s="71"/>
      <c r="KV124" s="71"/>
      <c r="KW124" s="71"/>
      <c r="KX124" s="71"/>
      <c r="KY124" s="71"/>
      <c r="KZ124" s="71"/>
      <c r="LA124" s="71"/>
      <c r="LB124" s="71"/>
      <c r="LC124" s="71"/>
      <c r="LD124" s="71"/>
      <c r="LE124" s="71"/>
      <c r="LF124" s="71"/>
      <c r="LG124" s="71"/>
      <c r="LH124" s="71"/>
      <c r="LI124" s="71"/>
      <c r="LJ124" s="71"/>
      <c r="LK124" s="71"/>
      <c r="LL124" s="71"/>
    </row>
    <row r="125" spans="1:324" x14ac:dyDescent="0.25">
      <c r="A125" s="1">
        <v>122</v>
      </c>
      <c r="B125" s="79">
        <v>45927</v>
      </c>
      <c r="C125" s="80">
        <v>0.92638888888888893</v>
      </c>
      <c r="D125" s="81"/>
      <c r="E125" s="81"/>
      <c r="F125" s="81"/>
      <c r="G125" s="81" t="s">
        <v>273</v>
      </c>
      <c r="H125" s="81" t="s">
        <v>274</v>
      </c>
      <c r="I125" s="79"/>
      <c r="J125" s="81" t="s">
        <v>122</v>
      </c>
      <c r="K125" s="81">
        <v>40</v>
      </c>
      <c r="L125" s="81">
        <v>3</v>
      </c>
      <c r="M125" s="81" t="s">
        <v>113</v>
      </c>
      <c r="N125" s="81">
        <v>3860</v>
      </c>
      <c r="O125" s="81">
        <v>53</v>
      </c>
      <c r="P125" s="81">
        <v>36</v>
      </c>
      <c r="Q125" s="81">
        <v>4</v>
      </c>
      <c r="R125" s="81" t="s">
        <v>110</v>
      </c>
      <c r="S125" s="81" t="s">
        <v>110</v>
      </c>
      <c r="T125" s="81" t="s">
        <v>110</v>
      </c>
      <c r="U125" s="81" t="s">
        <v>135</v>
      </c>
      <c r="V125" s="1"/>
      <c r="W125" s="81">
        <v>9</v>
      </c>
      <c r="X125" s="81">
        <v>9</v>
      </c>
      <c r="Y125" s="81" t="s">
        <v>111</v>
      </c>
      <c r="Z125" s="81" t="s">
        <v>111</v>
      </c>
      <c r="AA125" s="81" t="s">
        <v>111</v>
      </c>
      <c r="AB125" s="81" t="s">
        <v>111</v>
      </c>
      <c r="AC125" s="81" t="s">
        <v>111</v>
      </c>
      <c r="AD125" s="81" t="s">
        <v>110</v>
      </c>
      <c r="AE125" s="81" t="s">
        <v>111</v>
      </c>
      <c r="AF125" s="81" t="s">
        <v>111</v>
      </c>
      <c r="AG125" s="81" t="s">
        <v>142</v>
      </c>
      <c r="AH125" s="81" t="s">
        <v>111</v>
      </c>
      <c r="AI125" s="81" t="s">
        <v>125</v>
      </c>
      <c r="AJ125" s="81" t="s">
        <v>111</v>
      </c>
      <c r="AK125" s="81">
        <v>36</v>
      </c>
      <c r="AL125" s="81" t="s">
        <v>111</v>
      </c>
      <c r="AM125" s="81" t="s">
        <v>111</v>
      </c>
      <c r="AN125" s="81" t="s">
        <v>158</v>
      </c>
      <c r="AO125" s="81" t="s">
        <v>111</v>
      </c>
      <c r="AP125" s="81"/>
      <c r="AQ125" s="101" t="s">
        <v>110</v>
      </c>
      <c r="AR125" s="1" t="s">
        <v>112</v>
      </c>
      <c r="AS125" s="1"/>
      <c r="AT125" s="83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  <c r="CV125" s="78"/>
      <c r="CW125" s="78"/>
      <c r="CX125" s="78"/>
      <c r="CY125" s="78"/>
      <c r="CZ125" s="78"/>
      <c r="DA125" s="78"/>
      <c r="DB125" s="78"/>
      <c r="DC125" s="78"/>
      <c r="DD125" s="78"/>
      <c r="DE125" s="78"/>
      <c r="DF125" s="78"/>
      <c r="DG125" s="78"/>
      <c r="DH125" s="78"/>
      <c r="DI125" s="78"/>
      <c r="DJ125" s="78"/>
      <c r="DK125" s="78"/>
      <c r="DL125" s="78"/>
      <c r="DM125" s="78"/>
      <c r="DN125" s="78"/>
      <c r="DO125" s="78"/>
      <c r="DP125" s="78"/>
      <c r="DQ125" s="78"/>
      <c r="DR125" s="78"/>
      <c r="DS125" s="78"/>
      <c r="DT125" s="78"/>
      <c r="DU125" s="78"/>
      <c r="DV125" s="78"/>
      <c r="DW125" s="78"/>
      <c r="DX125" s="78"/>
      <c r="DY125" s="78"/>
      <c r="DZ125" s="78"/>
      <c r="EA125" s="78"/>
      <c r="EB125" s="78"/>
      <c r="EC125" s="78"/>
      <c r="ED125" s="78"/>
      <c r="EE125" s="78"/>
      <c r="EF125" s="78"/>
      <c r="EG125" s="78"/>
      <c r="EH125" s="78"/>
      <c r="EI125" s="78"/>
      <c r="EJ125" s="78"/>
      <c r="EK125" s="78"/>
      <c r="EL125" s="78"/>
      <c r="EM125" s="78"/>
      <c r="EN125" s="78"/>
      <c r="EO125" s="78"/>
      <c r="EP125" s="78"/>
      <c r="EQ125" s="78"/>
      <c r="ER125" s="78"/>
      <c r="ES125" s="78"/>
      <c r="ET125" s="78"/>
      <c r="EU125" s="78"/>
      <c r="EV125" s="78"/>
      <c r="EW125" s="78"/>
      <c r="EX125" s="78"/>
      <c r="EY125" s="78"/>
      <c r="EZ125" s="78"/>
      <c r="FA125" s="78"/>
      <c r="FB125" s="78"/>
      <c r="FC125" s="78"/>
      <c r="FD125" s="78"/>
      <c r="FE125" s="78"/>
      <c r="FF125" s="78"/>
      <c r="FG125" s="78"/>
      <c r="FH125" s="78"/>
      <c r="FI125" s="78"/>
      <c r="FJ125" s="78"/>
      <c r="FK125" s="78"/>
      <c r="FL125" s="78"/>
      <c r="FM125" s="78"/>
      <c r="FN125" s="78"/>
      <c r="FO125" s="78"/>
      <c r="FP125" s="78"/>
      <c r="FQ125" s="78"/>
      <c r="FR125" s="78"/>
      <c r="FS125" s="78"/>
      <c r="FT125" s="78"/>
      <c r="FU125" s="78"/>
      <c r="FV125" s="78"/>
      <c r="FW125" s="78"/>
      <c r="FX125" s="78"/>
      <c r="FY125" s="78"/>
      <c r="FZ125" s="78"/>
      <c r="GA125" s="78"/>
      <c r="GB125" s="78"/>
      <c r="GC125" s="78"/>
      <c r="GD125" s="78"/>
      <c r="GE125" s="78"/>
      <c r="GF125" s="78"/>
      <c r="GG125" s="78"/>
      <c r="GH125" s="78"/>
      <c r="GI125" s="78"/>
      <c r="GJ125" s="78"/>
      <c r="GK125" s="78"/>
      <c r="GL125" s="78"/>
      <c r="GM125" s="78"/>
      <c r="GN125" s="78"/>
      <c r="GO125" s="78"/>
      <c r="GP125" s="78"/>
      <c r="GQ125" s="78"/>
      <c r="GR125" s="78"/>
      <c r="GS125" s="78"/>
      <c r="GT125" s="78"/>
      <c r="GU125" s="78"/>
      <c r="GV125" s="78"/>
      <c r="GW125" s="78"/>
      <c r="GX125" s="78"/>
      <c r="GY125" s="78"/>
      <c r="GZ125" s="78"/>
      <c r="HA125" s="78"/>
      <c r="HB125" s="78"/>
      <c r="HC125" s="78"/>
      <c r="HD125" s="78"/>
      <c r="HE125" s="78"/>
      <c r="HF125" s="78"/>
      <c r="HG125" s="78"/>
      <c r="HH125" s="78"/>
      <c r="HI125" s="78"/>
      <c r="HJ125" s="78"/>
      <c r="HK125" s="78"/>
      <c r="HL125" s="78"/>
      <c r="HM125" s="78"/>
      <c r="HN125" s="78"/>
      <c r="HO125" s="78"/>
      <c r="HP125" s="78"/>
      <c r="HQ125" s="78"/>
      <c r="HR125" s="78"/>
      <c r="HS125" s="78"/>
      <c r="HT125" s="78"/>
      <c r="HU125" s="78"/>
      <c r="HV125" s="78"/>
      <c r="HW125" s="78"/>
      <c r="HX125" s="78"/>
      <c r="HY125" s="78"/>
      <c r="HZ125" s="78"/>
      <c r="IA125" s="78"/>
      <c r="IB125" s="78"/>
      <c r="IC125" s="78"/>
      <c r="ID125" s="78"/>
      <c r="IE125" s="78"/>
      <c r="IF125" s="78"/>
      <c r="IG125" s="78"/>
      <c r="IH125" s="78"/>
      <c r="II125" s="78"/>
      <c r="IJ125" s="78"/>
      <c r="IK125" s="78"/>
      <c r="IL125" s="78"/>
      <c r="IM125" s="78"/>
      <c r="IN125" s="78"/>
      <c r="IO125" s="78"/>
      <c r="IP125" s="78"/>
      <c r="IQ125" s="78"/>
      <c r="IR125" s="78"/>
      <c r="IS125" s="78"/>
      <c r="IT125" s="78"/>
      <c r="IU125" s="78"/>
      <c r="IV125" s="78"/>
      <c r="IW125" s="78"/>
      <c r="IX125" s="78"/>
      <c r="IY125" s="78"/>
      <c r="IZ125" s="78"/>
      <c r="JA125" s="78"/>
      <c r="JB125" s="78"/>
      <c r="JC125" s="78"/>
      <c r="JD125" s="78"/>
      <c r="JE125" s="78"/>
      <c r="JF125" s="78"/>
      <c r="JG125" s="78"/>
      <c r="JH125" s="78"/>
      <c r="JI125" s="78"/>
      <c r="JJ125" s="78"/>
      <c r="JK125" s="78"/>
      <c r="JL125" s="78"/>
      <c r="JM125" s="78"/>
      <c r="JN125" s="78"/>
      <c r="JO125" s="78"/>
      <c r="JP125" s="78"/>
      <c r="JQ125" s="78"/>
      <c r="JR125" s="78"/>
      <c r="JS125" s="78"/>
      <c r="JT125" s="78"/>
      <c r="JU125" s="78"/>
      <c r="JV125" s="78"/>
      <c r="JW125" s="78"/>
      <c r="JX125" s="78"/>
      <c r="JY125" s="78"/>
      <c r="JZ125" s="78"/>
      <c r="KA125" s="78"/>
      <c r="KB125" s="78"/>
      <c r="KC125" s="78"/>
      <c r="KD125" s="78"/>
      <c r="KE125" s="78"/>
      <c r="KF125" s="78"/>
      <c r="KG125" s="78"/>
      <c r="KH125" s="78"/>
      <c r="KI125" s="78"/>
      <c r="KJ125" s="78"/>
      <c r="KK125" s="78"/>
      <c r="KL125" s="78"/>
      <c r="KM125" s="78"/>
      <c r="KN125" s="78"/>
      <c r="KO125" s="78"/>
      <c r="KP125" s="78"/>
      <c r="KQ125" s="78"/>
      <c r="KR125" s="78"/>
      <c r="KS125" s="78"/>
      <c r="KT125" s="78"/>
      <c r="KU125" s="78"/>
      <c r="KV125" s="78"/>
      <c r="KW125" s="78"/>
      <c r="KX125" s="78"/>
      <c r="KY125" s="78"/>
      <c r="KZ125" s="78"/>
      <c r="LA125" s="78"/>
      <c r="LB125" s="78"/>
      <c r="LC125" s="78"/>
      <c r="LD125" s="78"/>
      <c r="LE125" s="78"/>
      <c r="LF125" s="78"/>
      <c r="LG125" s="78"/>
      <c r="LH125" s="78"/>
      <c r="LI125" s="78"/>
      <c r="LJ125" s="78"/>
      <c r="LK125" s="78"/>
      <c r="LL125" s="78"/>
    </row>
    <row r="126" spans="1:324" x14ac:dyDescent="0.25">
      <c r="A126" s="1">
        <v>123</v>
      </c>
      <c r="B126" s="79">
        <v>45928</v>
      </c>
      <c r="C126" s="80">
        <v>0.15347222222222223</v>
      </c>
      <c r="D126" s="81"/>
      <c r="E126" s="81"/>
      <c r="F126" s="81"/>
      <c r="G126" s="81" t="s">
        <v>238</v>
      </c>
      <c r="H126" s="81" t="s">
        <v>238</v>
      </c>
      <c r="I126" s="79"/>
      <c r="J126" s="81" t="s">
        <v>127</v>
      </c>
      <c r="K126" s="81">
        <v>38</v>
      </c>
      <c r="L126" s="81">
        <v>0</v>
      </c>
      <c r="M126" s="81" t="s">
        <v>113</v>
      </c>
      <c r="N126" s="81">
        <v>2450</v>
      </c>
      <c r="O126" s="81">
        <v>48</v>
      </c>
      <c r="P126" s="81">
        <v>32</v>
      </c>
      <c r="Q126" s="81">
        <v>4</v>
      </c>
      <c r="R126" s="81" t="s">
        <v>110</v>
      </c>
      <c r="S126" s="81" t="s">
        <v>110</v>
      </c>
      <c r="T126" s="81" t="s">
        <v>110</v>
      </c>
      <c r="U126" s="81" t="s">
        <v>135</v>
      </c>
      <c r="V126" s="1"/>
      <c r="W126" s="81">
        <v>8</v>
      </c>
      <c r="X126" s="81">
        <v>9</v>
      </c>
      <c r="Y126" s="81" t="s">
        <v>111</v>
      </c>
      <c r="Z126" s="81" t="s">
        <v>111</v>
      </c>
      <c r="AA126" s="81" t="s">
        <v>111</v>
      </c>
      <c r="AB126" s="81" t="s">
        <v>111</v>
      </c>
      <c r="AC126" s="81" t="s">
        <v>111</v>
      </c>
      <c r="AD126" s="81" t="s">
        <v>110</v>
      </c>
      <c r="AE126" s="81" t="s">
        <v>111</v>
      </c>
      <c r="AF126" s="81" t="s">
        <v>111</v>
      </c>
      <c r="AG126" s="81" t="s">
        <v>142</v>
      </c>
      <c r="AH126" s="81" t="s">
        <v>111</v>
      </c>
      <c r="AI126" s="81" t="s">
        <v>125</v>
      </c>
      <c r="AJ126" s="81" t="s">
        <v>111</v>
      </c>
      <c r="AK126" s="81">
        <v>26</v>
      </c>
      <c r="AL126" s="81" t="s">
        <v>111</v>
      </c>
      <c r="AM126" s="81" t="s">
        <v>111</v>
      </c>
      <c r="AN126" s="81" t="s">
        <v>166</v>
      </c>
      <c r="AO126" s="81" t="s">
        <v>111</v>
      </c>
      <c r="AP126" s="81"/>
      <c r="AQ126" s="101" t="s">
        <v>110</v>
      </c>
      <c r="AR126" s="1" t="s">
        <v>131</v>
      </c>
      <c r="AS126" s="1"/>
      <c r="AT126" s="83" t="s">
        <v>110</v>
      </c>
    </row>
    <row r="127" spans="1:324" x14ac:dyDescent="0.25">
      <c r="A127" s="1">
        <v>124</v>
      </c>
      <c r="B127" s="79">
        <v>45928</v>
      </c>
      <c r="C127" s="80">
        <v>0.29722222222222222</v>
      </c>
      <c r="D127" s="81"/>
      <c r="E127" s="81"/>
      <c r="F127" s="81"/>
      <c r="G127" s="81" t="s">
        <v>159</v>
      </c>
      <c r="H127" s="81" t="s">
        <v>159</v>
      </c>
      <c r="I127" s="79"/>
      <c r="J127" s="81" t="s">
        <v>127</v>
      </c>
      <c r="K127" s="81">
        <v>37</v>
      </c>
      <c r="L127" s="81">
        <v>2</v>
      </c>
      <c r="M127" s="81" t="s">
        <v>123</v>
      </c>
      <c r="N127" s="81">
        <v>3350</v>
      </c>
      <c r="O127" s="81">
        <v>49</v>
      </c>
      <c r="P127" s="81">
        <v>36</v>
      </c>
      <c r="Q127" s="81">
        <v>4</v>
      </c>
      <c r="R127" s="81" t="s">
        <v>110</v>
      </c>
      <c r="S127" s="81" t="s">
        <v>110</v>
      </c>
      <c r="T127" s="81" t="s">
        <v>110</v>
      </c>
      <c r="U127" s="81" t="s">
        <v>135</v>
      </c>
      <c r="V127" s="1"/>
      <c r="W127" s="81">
        <v>9</v>
      </c>
      <c r="X127" s="81">
        <v>10</v>
      </c>
      <c r="Y127" s="81" t="s">
        <v>111</v>
      </c>
      <c r="Z127" s="81" t="s">
        <v>111</v>
      </c>
      <c r="AA127" s="81" t="s">
        <v>111</v>
      </c>
      <c r="AB127" s="81" t="s">
        <v>111</v>
      </c>
      <c r="AC127" s="81" t="s">
        <v>111</v>
      </c>
      <c r="AD127" s="81" t="s">
        <v>110</v>
      </c>
      <c r="AE127" s="81" t="s">
        <v>111</v>
      </c>
      <c r="AF127" s="81" t="s">
        <v>111</v>
      </c>
      <c r="AG127" s="81" t="s">
        <v>142</v>
      </c>
      <c r="AH127" s="81" t="s">
        <v>111</v>
      </c>
      <c r="AI127" s="81" t="s">
        <v>125</v>
      </c>
      <c r="AJ127" s="81" t="s">
        <v>111</v>
      </c>
      <c r="AK127" s="81">
        <v>32</v>
      </c>
      <c r="AL127" s="81" t="s">
        <v>111</v>
      </c>
      <c r="AM127" s="81" t="s">
        <v>111</v>
      </c>
      <c r="AN127" s="81" t="s">
        <v>215</v>
      </c>
      <c r="AO127" s="81" t="s">
        <v>111</v>
      </c>
      <c r="AP127" s="81"/>
      <c r="AQ127" s="101" t="s">
        <v>110</v>
      </c>
      <c r="AR127" s="1" t="s">
        <v>131</v>
      </c>
      <c r="AS127" s="1"/>
      <c r="AT127" s="83" t="s">
        <v>110</v>
      </c>
      <c r="BB127" s="100"/>
      <c r="BC127" s="100"/>
      <c r="BD127" s="100"/>
      <c r="BE127" s="100"/>
      <c r="BF127" s="100"/>
      <c r="BG127" s="100"/>
      <c r="BH127" s="100"/>
      <c r="BI127" s="100"/>
      <c r="BJ127" s="100"/>
      <c r="BK127" s="100"/>
      <c r="BL127" s="100"/>
      <c r="BM127" s="100"/>
      <c r="BN127" s="100"/>
      <c r="BO127" s="100"/>
      <c r="BP127" s="100"/>
      <c r="BQ127" s="100"/>
      <c r="BR127" s="100"/>
      <c r="BS127" s="100"/>
      <c r="BT127" s="100"/>
      <c r="BU127" s="100"/>
      <c r="BV127" s="100"/>
      <c r="BW127" s="100"/>
      <c r="BX127" s="100"/>
      <c r="BY127" s="100"/>
      <c r="BZ127" s="100"/>
      <c r="CA127" s="100"/>
      <c r="CB127" s="100"/>
      <c r="CC127" s="100"/>
      <c r="CD127" s="100"/>
      <c r="CE127" s="100"/>
      <c r="CF127" s="100"/>
      <c r="CG127" s="100"/>
      <c r="CH127" s="100"/>
      <c r="CI127" s="100"/>
      <c r="CJ127" s="100"/>
      <c r="CK127" s="100"/>
      <c r="CL127" s="100"/>
      <c r="CM127" s="100"/>
      <c r="CN127" s="100"/>
      <c r="CO127" s="100"/>
      <c r="CP127" s="100"/>
      <c r="CQ127" s="100"/>
      <c r="CR127" s="100"/>
      <c r="CS127" s="100"/>
      <c r="CT127" s="100"/>
      <c r="CU127" s="100"/>
      <c r="CV127" s="100"/>
      <c r="CW127" s="100"/>
      <c r="CX127" s="100"/>
      <c r="CY127" s="100"/>
      <c r="CZ127" s="100"/>
      <c r="DA127" s="100"/>
      <c r="DB127" s="100"/>
      <c r="DC127" s="100"/>
      <c r="DD127" s="100"/>
      <c r="DE127" s="100"/>
      <c r="DF127" s="100"/>
      <c r="DG127" s="100"/>
      <c r="DH127" s="100"/>
      <c r="DI127" s="100"/>
      <c r="DJ127" s="100"/>
      <c r="DK127" s="100"/>
      <c r="DL127" s="100"/>
      <c r="DM127" s="100"/>
      <c r="DN127" s="100"/>
      <c r="DO127" s="100"/>
      <c r="DP127" s="100"/>
      <c r="DQ127" s="100"/>
      <c r="DR127" s="100"/>
      <c r="DS127" s="100"/>
      <c r="DT127" s="100"/>
      <c r="DU127" s="100"/>
      <c r="DV127" s="100"/>
      <c r="DW127" s="100"/>
      <c r="DX127" s="100"/>
      <c r="DY127" s="100"/>
      <c r="DZ127" s="100"/>
      <c r="EA127" s="100"/>
      <c r="EB127" s="100"/>
      <c r="EC127" s="100"/>
      <c r="ED127" s="100"/>
      <c r="EE127" s="100"/>
      <c r="EF127" s="100"/>
      <c r="EG127" s="100"/>
      <c r="EH127" s="100"/>
      <c r="EI127" s="100"/>
      <c r="EJ127" s="100"/>
      <c r="EK127" s="100"/>
      <c r="EL127" s="100"/>
      <c r="EM127" s="100"/>
      <c r="EN127" s="100"/>
      <c r="EO127" s="100"/>
      <c r="EP127" s="100"/>
      <c r="EQ127" s="100"/>
      <c r="ER127" s="100"/>
      <c r="ES127" s="100"/>
      <c r="ET127" s="100"/>
      <c r="EU127" s="100"/>
      <c r="EV127" s="100"/>
      <c r="EW127" s="100"/>
      <c r="EX127" s="100"/>
      <c r="EY127" s="100"/>
      <c r="EZ127" s="100"/>
      <c r="FA127" s="100"/>
      <c r="FB127" s="100"/>
      <c r="FC127" s="100"/>
      <c r="FD127" s="100"/>
      <c r="FE127" s="100"/>
      <c r="FF127" s="100"/>
      <c r="FG127" s="100"/>
      <c r="FH127" s="100"/>
      <c r="FI127" s="100"/>
      <c r="FJ127" s="100"/>
      <c r="FK127" s="100"/>
      <c r="FL127" s="100"/>
      <c r="FM127" s="100"/>
      <c r="FN127" s="100"/>
      <c r="FO127" s="100"/>
      <c r="FP127" s="100"/>
      <c r="FQ127" s="100"/>
      <c r="FR127" s="100"/>
      <c r="FS127" s="100"/>
      <c r="FT127" s="100"/>
      <c r="FU127" s="100"/>
      <c r="FV127" s="100"/>
      <c r="FW127" s="100"/>
      <c r="FX127" s="100"/>
      <c r="FY127" s="100"/>
      <c r="FZ127" s="100"/>
      <c r="GA127" s="100"/>
      <c r="GB127" s="100"/>
      <c r="GC127" s="100"/>
      <c r="GD127" s="100"/>
      <c r="GE127" s="100"/>
      <c r="GF127" s="100"/>
      <c r="GG127" s="100"/>
      <c r="GH127" s="100"/>
      <c r="GI127" s="100"/>
      <c r="GJ127" s="100"/>
      <c r="GK127" s="100"/>
      <c r="GL127" s="100"/>
      <c r="GM127" s="100"/>
      <c r="GN127" s="100"/>
      <c r="GO127" s="100"/>
      <c r="GP127" s="100"/>
      <c r="GQ127" s="100"/>
      <c r="GR127" s="100"/>
      <c r="GS127" s="100"/>
      <c r="GT127" s="100"/>
      <c r="GU127" s="100"/>
      <c r="GV127" s="100"/>
      <c r="GW127" s="100"/>
      <c r="GX127" s="100"/>
      <c r="GY127" s="100"/>
      <c r="GZ127" s="100"/>
      <c r="HA127" s="100"/>
      <c r="HB127" s="100"/>
      <c r="HC127" s="100"/>
      <c r="HD127" s="100"/>
      <c r="HE127" s="100"/>
      <c r="HF127" s="100"/>
      <c r="HG127" s="100"/>
      <c r="HH127" s="100"/>
      <c r="HI127" s="100"/>
      <c r="HJ127" s="100"/>
      <c r="HK127" s="100"/>
      <c r="HL127" s="100"/>
      <c r="HM127" s="100"/>
      <c r="HN127" s="100"/>
      <c r="HO127" s="100"/>
      <c r="HP127" s="100"/>
      <c r="HQ127" s="100"/>
      <c r="HR127" s="100"/>
      <c r="HS127" s="100"/>
      <c r="HT127" s="100"/>
      <c r="HU127" s="100"/>
      <c r="HV127" s="100"/>
      <c r="HW127" s="100"/>
      <c r="HX127" s="100"/>
      <c r="HY127" s="100"/>
      <c r="HZ127" s="100"/>
      <c r="IA127" s="100"/>
      <c r="IB127" s="100"/>
      <c r="IC127" s="100"/>
      <c r="ID127" s="100"/>
      <c r="IE127" s="100"/>
      <c r="IF127" s="100"/>
      <c r="IG127" s="100"/>
      <c r="IH127" s="100"/>
      <c r="II127" s="100"/>
      <c r="IJ127" s="100"/>
      <c r="IK127" s="100"/>
      <c r="IL127" s="100"/>
      <c r="IM127" s="100"/>
      <c r="IN127" s="100"/>
      <c r="IO127" s="100"/>
      <c r="IP127" s="100"/>
      <c r="IQ127" s="100"/>
      <c r="IR127" s="100"/>
      <c r="IS127" s="100"/>
      <c r="IT127" s="100"/>
      <c r="IU127" s="100"/>
      <c r="IV127" s="100"/>
      <c r="IW127" s="100"/>
      <c r="IX127" s="100"/>
      <c r="IY127" s="100"/>
      <c r="IZ127" s="100"/>
      <c r="JA127" s="100"/>
      <c r="JB127" s="100"/>
      <c r="JC127" s="100"/>
      <c r="JD127" s="100"/>
      <c r="JE127" s="100"/>
      <c r="JF127" s="100"/>
      <c r="JG127" s="100"/>
      <c r="JH127" s="100"/>
      <c r="JI127" s="100"/>
      <c r="JJ127" s="100"/>
      <c r="JK127" s="100"/>
      <c r="JL127" s="100"/>
      <c r="JM127" s="100"/>
      <c r="JN127" s="100"/>
      <c r="JO127" s="100"/>
      <c r="JP127" s="100"/>
      <c r="JQ127" s="100"/>
      <c r="JR127" s="100"/>
      <c r="JS127" s="100"/>
      <c r="JT127" s="100"/>
      <c r="JU127" s="100"/>
      <c r="JV127" s="100"/>
      <c r="JW127" s="100"/>
      <c r="JX127" s="100"/>
      <c r="JY127" s="100"/>
      <c r="JZ127" s="100"/>
      <c r="KA127" s="100"/>
      <c r="KB127" s="100"/>
      <c r="KC127" s="100"/>
      <c r="KD127" s="100"/>
      <c r="KE127" s="100"/>
      <c r="KF127" s="100"/>
      <c r="KG127" s="100"/>
      <c r="KH127" s="100"/>
      <c r="KI127" s="100"/>
      <c r="KJ127" s="100"/>
      <c r="KK127" s="100"/>
      <c r="KL127" s="100"/>
      <c r="KM127" s="100"/>
      <c r="KN127" s="100"/>
      <c r="KO127" s="100"/>
      <c r="KP127" s="100"/>
      <c r="KQ127" s="100"/>
      <c r="KR127" s="100"/>
      <c r="KS127" s="100"/>
      <c r="KT127" s="100"/>
      <c r="KU127" s="100"/>
      <c r="KV127" s="100"/>
      <c r="KW127" s="100"/>
      <c r="KX127" s="100"/>
      <c r="KY127" s="100"/>
      <c r="KZ127" s="100"/>
      <c r="LA127" s="100"/>
      <c r="LB127" s="100"/>
      <c r="LC127" s="100"/>
      <c r="LD127" s="100"/>
      <c r="LE127" s="100"/>
      <c r="LF127" s="100"/>
      <c r="LG127" s="100"/>
      <c r="LH127" s="100"/>
      <c r="LI127" s="100"/>
      <c r="LJ127" s="100"/>
      <c r="LK127" s="100"/>
      <c r="LL127" s="100"/>
    </row>
    <row r="128" spans="1:324" x14ac:dyDescent="0.25">
      <c r="A128" s="1">
        <v>125</v>
      </c>
      <c r="B128" s="79">
        <v>45928</v>
      </c>
      <c r="C128" s="80">
        <v>0.46249999999999997</v>
      </c>
      <c r="D128" s="81"/>
      <c r="E128" s="81"/>
      <c r="F128" s="81"/>
      <c r="G128" s="81" t="s">
        <v>195</v>
      </c>
      <c r="H128" s="81" t="s">
        <v>195</v>
      </c>
      <c r="I128" s="79"/>
      <c r="J128" s="81" t="s">
        <v>122</v>
      </c>
      <c r="K128" s="81">
        <v>38</v>
      </c>
      <c r="L128" s="81">
        <v>3</v>
      </c>
      <c r="M128" s="81" t="s">
        <v>113</v>
      </c>
      <c r="N128" s="81">
        <v>3390</v>
      </c>
      <c r="O128" s="81">
        <v>49</v>
      </c>
      <c r="P128" s="81">
        <v>33.5</v>
      </c>
      <c r="Q128" s="81">
        <v>4</v>
      </c>
      <c r="R128" s="81" t="s">
        <v>110</v>
      </c>
      <c r="S128" s="81" t="s">
        <v>110</v>
      </c>
      <c r="T128" s="81" t="s">
        <v>110</v>
      </c>
      <c r="U128" s="81" t="s">
        <v>124</v>
      </c>
      <c r="V128" s="1"/>
      <c r="W128" s="81">
        <v>9</v>
      </c>
      <c r="X128" s="81">
        <v>10</v>
      </c>
      <c r="Y128" s="81" t="s">
        <v>111</v>
      </c>
      <c r="Z128" s="81" t="s">
        <v>111</v>
      </c>
      <c r="AA128" s="81" t="s">
        <v>111</v>
      </c>
      <c r="AB128" s="81" t="s">
        <v>111</v>
      </c>
      <c r="AC128" s="81" t="s">
        <v>111</v>
      </c>
      <c r="AD128" s="81" t="s">
        <v>110</v>
      </c>
      <c r="AE128" s="81" t="s">
        <v>111</v>
      </c>
      <c r="AF128" s="81" t="s">
        <v>111</v>
      </c>
      <c r="AG128" s="81" t="s">
        <v>142</v>
      </c>
      <c r="AH128" s="81" t="s">
        <v>111</v>
      </c>
      <c r="AI128" s="81" t="s">
        <v>125</v>
      </c>
      <c r="AJ128" s="81" t="s">
        <v>111</v>
      </c>
      <c r="AK128" s="81">
        <v>32</v>
      </c>
      <c r="AL128" s="81" t="s">
        <v>111</v>
      </c>
      <c r="AM128" s="81" t="s">
        <v>111</v>
      </c>
      <c r="AN128" s="81" t="s">
        <v>160</v>
      </c>
      <c r="AO128" s="81" t="s">
        <v>111</v>
      </c>
      <c r="AP128" s="81"/>
      <c r="AQ128" s="101" t="s">
        <v>110</v>
      </c>
      <c r="AR128" s="1" t="s">
        <v>112</v>
      </c>
      <c r="AS128" s="1"/>
      <c r="AT128" s="83"/>
    </row>
    <row r="129" spans="1:324" x14ac:dyDescent="0.25">
      <c r="A129" s="1">
        <v>126</v>
      </c>
      <c r="B129" s="79">
        <v>45928</v>
      </c>
      <c r="C129" s="80">
        <v>0.47361111111111115</v>
      </c>
      <c r="D129" s="81"/>
      <c r="E129" s="81"/>
      <c r="F129" s="81"/>
      <c r="G129" s="81" t="s">
        <v>114</v>
      </c>
      <c r="H129" s="81" t="s">
        <v>149</v>
      </c>
      <c r="I129" s="79"/>
      <c r="J129" s="81" t="s">
        <v>122</v>
      </c>
      <c r="K129" s="81">
        <v>33</v>
      </c>
      <c r="L129" s="81">
        <v>6</v>
      </c>
      <c r="M129" s="81" t="s">
        <v>123</v>
      </c>
      <c r="N129" s="81">
        <v>2360</v>
      </c>
      <c r="O129" s="81">
        <v>44.5</v>
      </c>
      <c r="P129" s="81">
        <v>32.5</v>
      </c>
      <c r="Q129" s="81">
        <v>4</v>
      </c>
      <c r="R129" s="81" t="s">
        <v>111</v>
      </c>
      <c r="S129" s="81" t="s">
        <v>110</v>
      </c>
      <c r="T129" s="81" t="s">
        <v>110</v>
      </c>
      <c r="U129" s="81" t="s">
        <v>124</v>
      </c>
      <c r="V129" s="1"/>
      <c r="W129" s="81">
        <v>8</v>
      </c>
      <c r="X129" s="81">
        <v>10</v>
      </c>
      <c r="Y129" s="81" t="s">
        <v>111</v>
      </c>
      <c r="Z129" s="81" t="s">
        <v>111</v>
      </c>
      <c r="AA129" s="81" t="s">
        <v>111</v>
      </c>
      <c r="AB129" s="81" t="s">
        <v>111</v>
      </c>
      <c r="AC129" s="81" t="s">
        <v>111</v>
      </c>
      <c r="AD129" s="81" t="s">
        <v>110</v>
      </c>
      <c r="AE129" s="81" t="s">
        <v>111</v>
      </c>
      <c r="AF129" s="81" t="s">
        <v>111</v>
      </c>
      <c r="AG129" s="81" t="s">
        <v>142</v>
      </c>
      <c r="AH129" s="81" t="s">
        <v>111</v>
      </c>
      <c r="AI129" s="81" t="s">
        <v>125</v>
      </c>
      <c r="AJ129" s="81" t="s">
        <v>111</v>
      </c>
      <c r="AK129" s="81">
        <v>34</v>
      </c>
      <c r="AL129" s="81" t="s">
        <v>111</v>
      </c>
      <c r="AM129" s="81" t="s">
        <v>111</v>
      </c>
      <c r="AN129" s="81" t="s">
        <v>275</v>
      </c>
      <c r="AO129" s="81" t="s">
        <v>111</v>
      </c>
      <c r="AP129" s="81"/>
      <c r="AQ129" s="101" t="s">
        <v>111</v>
      </c>
      <c r="AR129" s="1" t="s">
        <v>276</v>
      </c>
      <c r="AS129" s="1"/>
      <c r="AT129" s="83"/>
    </row>
    <row r="130" spans="1:324" x14ac:dyDescent="0.25">
      <c r="A130" s="1">
        <v>127</v>
      </c>
      <c r="B130" s="79">
        <v>45928</v>
      </c>
      <c r="C130" s="80">
        <v>0.55972222222222223</v>
      </c>
      <c r="D130" s="81"/>
      <c r="E130" s="81"/>
      <c r="F130" s="81"/>
      <c r="G130" s="81" t="s">
        <v>154</v>
      </c>
      <c r="H130" s="81" t="s">
        <v>154</v>
      </c>
      <c r="I130" s="79"/>
      <c r="J130" s="81" t="s">
        <v>122</v>
      </c>
      <c r="K130" s="81">
        <v>30</v>
      </c>
      <c r="L130" s="81">
        <v>6</v>
      </c>
      <c r="M130" s="81" t="s">
        <v>123</v>
      </c>
      <c r="N130" s="81">
        <v>1310</v>
      </c>
      <c r="O130" s="81">
        <v>38</v>
      </c>
      <c r="P130" s="81">
        <v>26</v>
      </c>
      <c r="Q130" s="81">
        <v>1</v>
      </c>
      <c r="R130" s="81" t="s">
        <v>111</v>
      </c>
      <c r="S130" s="81" t="s">
        <v>110</v>
      </c>
      <c r="T130" s="81" t="s">
        <v>110</v>
      </c>
      <c r="U130" s="81" t="s">
        <v>124</v>
      </c>
      <c r="V130" s="1"/>
      <c r="W130" s="81">
        <v>3</v>
      </c>
      <c r="X130" s="81">
        <v>7</v>
      </c>
      <c r="Y130" s="81" t="s">
        <v>110</v>
      </c>
      <c r="Z130" s="81" t="s">
        <v>110</v>
      </c>
      <c r="AA130" s="81" t="s">
        <v>111</v>
      </c>
      <c r="AB130" s="81" t="s">
        <v>111</v>
      </c>
      <c r="AC130" s="81" t="s">
        <v>111</v>
      </c>
      <c r="AD130" s="81" t="s">
        <v>110</v>
      </c>
      <c r="AE130" s="81" t="s">
        <v>111</v>
      </c>
      <c r="AF130" s="81" t="s">
        <v>111</v>
      </c>
      <c r="AG130" s="81" t="s">
        <v>142</v>
      </c>
      <c r="AH130" s="81" t="s">
        <v>111</v>
      </c>
      <c r="AI130" s="81" t="s">
        <v>125</v>
      </c>
      <c r="AJ130" s="81" t="s">
        <v>111</v>
      </c>
      <c r="AK130" s="81">
        <v>39</v>
      </c>
      <c r="AL130" s="81" t="s">
        <v>111</v>
      </c>
      <c r="AM130" s="81" t="s">
        <v>111</v>
      </c>
      <c r="AN130" s="81" t="s">
        <v>277</v>
      </c>
      <c r="AO130" s="81" t="s">
        <v>111</v>
      </c>
      <c r="AP130" s="81"/>
      <c r="AQ130" s="101" t="s">
        <v>111</v>
      </c>
      <c r="AR130" s="1" t="s">
        <v>201</v>
      </c>
      <c r="AS130" s="1"/>
      <c r="AT130" s="83"/>
    </row>
    <row r="131" spans="1:324" x14ac:dyDescent="0.25">
      <c r="A131" s="1">
        <v>128</v>
      </c>
      <c r="B131" s="79">
        <v>45928</v>
      </c>
      <c r="C131" s="80">
        <v>0.60347222222222219</v>
      </c>
      <c r="D131" s="81"/>
      <c r="E131" s="81"/>
      <c r="F131" s="81"/>
      <c r="G131" s="81" t="s">
        <v>133</v>
      </c>
      <c r="H131" s="81" t="s">
        <v>134</v>
      </c>
      <c r="I131" s="79"/>
      <c r="J131" s="81" t="s">
        <v>127</v>
      </c>
      <c r="K131" s="81">
        <v>35</v>
      </c>
      <c r="L131" s="81">
        <v>6</v>
      </c>
      <c r="M131" s="81" t="s">
        <v>123</v>
      </c>
      <c r="N131" s="81">
        <v>3190</v>
      </c>
      <c r="O131" s="81">
        <v>46.5</v>
      </c>
      <c r="P131" s="81">
        <v>34</v>
      </c>
      <c r="Q131" s="81">
        <v>1</v>
      </c>
      <c r="R131" s="81" t="s">
        <v>111</v>
      </c>
      <c r="S131" s="81" t="s">
        <v>110</v>
      </c>
      <c r="T131" s="81" t="s">
        <v>110</v>
      </c>
      <c r="U131" s="81" t="s">
        <v>124</v>
      </c>
      <c r="V131" s="1"/>
      <c r="W131" s="81">
        <v>1</v>
      </c>
      <c r="X131" s="81">
        <v>6</v>
      </c>
      <c r="Y131" s="81" t="s">
        <v>110</v>
      </c>
      <c r="Z131" s="81" t="s">
        <v>110</v>
      </c>
      <c r="AA131" s="81" t="s">
        <v>110</v>
      </c>
      <c r="AB131" s="81" t="s">
        <v>111</v>
      </c>
      <c r="AC131" s="81" t="s">
        <v>111</v>
      </c>
      <c r="AD131" s="81" t="s">
        <v>111</v>
      </c>
      <c r="AE131" s="81" t="s">
        <v>111</v>
      </c>
      <c r="AF131" s="81" t="s">
        <v>111</v>
      </c>
      <c r="AG131" s="81" t="s">
        <v>142</v>
      </c>
      <c r="AH131" s="81" t="s">
        <v>111</v>
      </c>
      <c r="AI131" s="81" t="s">
        <v>125</v>
      </c>
      <c r="AJ131" s="81" t="s">
        <v>111</v>
      </c>
      <c r="AK131" s="81">
        <v>28</v>
      </c>
      <c r="AL131" s="81" t="s">
        <v>111</v>
      </c>
      <c r="AM131" s="81" t="s">
        <v>111</v>
      </c>
      <c r="AN131" s="81" t="s">
        <v>278</v>
      </c>
      <c r="AO131" s="81" t="s">
        <v>111</v>
      </c>
      <c r="AP131" s="81"/>
      <c r="AQ131" s="101" t="s">
        <v>110</v>
      </c>
      <c r="AR131" s="1" t="s">
        <v>131</v>
      </c>
      <c r="AS131" s="1"/>
      <c r="AT131" s="83"/>
    </row>
    <row r="132" spans="1:324" x14ac:dyDescent="0.25">
      <c r="A132" s="1">
        <v>129</v>
      </c>
      <c r="B132" s="79">
        <v>45929</v>
      </c>
      <c r="C132" s="80">
        <v>0.38680555555555557</v>
      </c>
      <c r="D132" s="81"/>
      <c r="E132" s="81"/>
      <c r="F132" s="81"/>
      <c r="G132" s="81" t="s">
        <v>159</v>
      </c>
      <c r="H132" s="81" t="s">
        <v>159</v>
      </c>
      <c r="I132" s="79"/>
      <c r="J132" s="81" t="s">
        <v>122</v>
      </c>
      <c r="K132" s="81">
        <v>37</v>
      </c>
      <c r="L132" s="81">
        <v>1</v>
      </c>
      <c r="M132" s="81" t="s">
        <v>123</v>
      </c>
      <c r="N132" s="81">
        <v>2010</v>
      </c>
      <c r="O132" s="81">
        <v>47</v>
      </c>
      <c r="P132" s="81">
        <v>32</v>
      </c>
      <c r="Q132" s="81">
        <v>4</v>
      </c>
      <c r="R132" s="81" t="s">
        <v>110</v>
      </c>
      <c r="S132" s="81" t="s">
        <v>110</v>
      </c>
      <c r="T132" s="81" t="s">
        <v>110</v>
      </c>
      <c r="U132" s="81" t="s">
        <v>132</v>
      </c>
      <c r="V132" s="1"/>
      <c r="W132" s="81">
        <v>9</v>
      </c>
      <c r="X132" s="81">
        <v>10</v>
      </c>
      <c r="Y132" s="81" t="s">
        <v>111</v>
      </c>
      <c r="Z132" s="81" t="s">
        <v>111</v>
      </c>
      <c r="AA132" s="81" t="s">
        <v>111</v>
      </c>
      <c r="AB132" s="81" t="s">
        <v>111</v>
      </c>
      <c r="AC132" s="81" t="s">
        <v>111</v>
      </c>
      <c r="AD132" s="81" t="s">
        <v>110</v>
      </c>
      <c r="AE132" s="81" t="s">
        <v>111</v>
      </c>
      <c r="AF132" s="81" t="s">
        <v>111</v>
      </c>
      <c r="AG132" s="81" t="s">
        <v>142</v>
      </c>
      <c r="AH132" s="81" t="s">
        <v>111</v>
      </c>
      <c r="AI132" s="81" t="s">
        <v>125</v>
      </c>
      <c r="AJ132" s="81" t="s">
        <v>111</v>
      </c>
      <c r="AK132" s="81">
        <v>34</v>
      </c>
      <c r="AL132" s="81" t="s">
        <v>111</v>
      </c>
      <c r="AM132" s="81" t="s">
        <v>111</v>
      </c>
      <c r="AN132" s="81" t="s">
        <v>279</v>
      </c>
      <c r="AO132" s="81" t="s">
        <v>111</v>
      </c>
      <c r="AP132" s="81"/>
      <c r="AQ132" s="101" t="s">
        <v>110</v>
      </c>
      <c r="AR132" s="1" t="s">
        <v>112</v>
      </c>
      <c r="AS132" s="1"/>
      <c r="AT132" s="83"/>
    </row>
    <row r="133" spans="1:324" s="97" customFormat="1" x14ac:dyDescent="0.25">
      <c r="A133" s="1">
        <v>130</v>
      </c>
      <c r="B133" s="79">
        <v>45929</v>
      </c>
      <c r="C133" s="80">
        <v>0.44375000000000003</v>
      </c>
      <c r="D133" s="81"/>
      <c r="E133" s="81"/>
      <c r="F133" s="81"/>
      <c r="G133" s="81" t="s">
        <v>114</v>
      </c>
      <c r="H133" s="81" t="s">
        <v>149</v>
      </c>
      <c r="I133" s="79"/>
      <c r="J133" s="81" t="s">
        <v>129</v>
      </c>
      <c r="K133" s="81">
        <v>39</v>
      </c>
      <c r="L133" s="81">
        <v>1</v>
      </c>
      <c r="M133" s="81" t="s">
        <v>113</v>
      </c>
      <c r="N133" s="81">
        <v>3290</v>
      </c>
      <c r="O133" s="81">
        <v>48</v>
      </c>
      <c r="P133" s="81">
        <v>34</v>
      </c>
      <c r="Q133" s="81">
        <v>4</v>
      </c>
      <c r="R133" s="81" t="s">
        <v>110</v>
      </c>
      <c r="S133" s="81" t="s">
        <v>110</v>
      </c>
      <c r="T133" s="81" t="s">
        <v>110</v>
      </c>
      <c r="U133" s="81" t="s">
        <v>130</v>
      </c>
      <c r="V133" s="1"/>
      <c r="W133" s="81">
        <v>8</v>
      </c>
      <c r="X133" s="81">
        <v>9</v>
      </c>
      <c r="Y133" s="81" t="s">
        <v>111</v>
      </c>
      <c r="Z133" s="81" t="s">
        <v>111</v>
      </c>
      <c r="AA133" s="81" t="s">
        <v>111</v>
      </c>
      <c r="AB133" s="81" t="s">
        <v>110</v>
      </c>
      <c r="AC133" s="81" t="s">
        <v>110</v>
      </c>
      <c r="AD133" s="81" t="s">
        <v>110</v>
      </c>
      <c r="AE133" s="81" t="s">
        <v>111</v>
      </c>
      <c r="AF133" s="81" t="s">
        <v>111</v>
      </c>
      <c r="AG133" s="81" t="s">
        <v>142</v>
      </c>
      <c r="AH133" s="81" t="s">
        <v>111</v>
      </c>
      <c r="AI133" s="81" t="s">
        <v>125</v>
      </c>
      <c r="AJ133" s="81" t="s">
        <v>111</v>
      </c>
      <c r="AK133" s="81">
        <v>26</v>
      </c>
      <c r="AL133" s="81" t="s">
        <v>111</v>
      </c>
      <c r="AM133" s="81" t="s">
        <v>111</v>
      </c>
      <c r="AN133" s="81" t="s">
        <v>138</v>
      </c>
      <c r="AO133" s="81" t="s">
        <v>111</v>
      </c>
      <c r="AP133" s="81"/>
      <c r="AQ133" s="101" t="s">
        <v>110</v>
      </c>
      <c r="AR133" s="1" t="s">
        <v>131</v>
      </c>
      <c r="AS133" s="1"/>
      <c r="AT133" s="83" t="s">
        <v>110</v>
      </c>
      <c r="AU133" s="81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</row>
    <row r="134" spans="1:324" s="97" customFormat="1" x14ac:dyDescent="0.25">
      <c r="A134" s="1">
        <v>131</v>
      </c>
      <c r="B134" s="111">
        <v>45929</v>
      </c>
      <c r="C134" s="112">
        <v>0.50277777777777777</v>
      </c>
      <c r="D134" s="96"/>
      <c r="E134" s="96"/>
      <c r="F134" s="96"/>
      <c r="G134" s="96" t="s">
        <v>162</v>
      </c>
      <c r="H134" s="96" t="s">
        <v>162</v>
      </c>
      <c r="I134" s="111"/>
      <c r="J134" s="96" t="s">
        <v>129</v>
      </c>
      <c r="K134" s="96">
        <v>37</v>
      </c>
      <c r="L134" s="96">
        <v>0</v>
      </c>
      <c r="M134" s="96" t="s">
        <v>113</v>
      </c>
      <c r="N134" s="96">
        <v>2241</v>
      </c>
      <c r="O134" s="96">
        <v>46</v>
      </c>
      <c r="P134" s="96">
        <v>33</v>
      </c>
      <c r="Q134" s="96">
        <v>4</v>
      </c>
      <c r="R134" s="96" t="s">
        <v>110</v>
      </c>
      <c r="S134" s="96" t="s">
        <v>110</v>
      </c>
      <c r="T134" s="96" t="s">
        <v>110</v>
      </c>
      <c r="U134" s="96" t="s">
        <v>130</v>
      </c>
      <c r="V134" s="2"/>
      <c r="W134" s="96">
        <v>9</v>
      </c>
      <c r="X134" s="96">
        <v>9</v>
      </c>
      <c r="Y134" s="96" t="s">
        <v>111</v>
      </c>
      <c r="Z134" s="96" t="s">
        <v>111</v>
      </c>
      <c r="AA134" s="96" t="s">
        <v>111</v>
      </c>
      <c r="AB134" s="96" t="s">
        <v>110</v>
      </c>
      <c r="AC134" s="96" t="s">
        <v>111</v>
      </c>
      <c r="AD134" s="96" t="s">
        <v>110</v>
      </c>
      <c r="AE134" s="96" t="s">
        <v>111</v>
      </c>
      <c r="AF134" s="96" t="s">
        <v>111</v>
      </c>
      <c r="AG134" s="96" t="s">
        <v>142</v>
      </c>
      <c r="AH134" s="96" t="s">
        <v>111</v>
      </c>
      <c r="AI134" s="96" t="s">
        <v>125</v>
      </c>
      <c r="AJ134" s="96" t="s">
        <v>111</v>
      </c>
      <c r="AK134" s="96">
        <v>29</v>
      </c>
      <c r="AL134" s="96" t="s">
        <v>111</v>
      </c>
      <c r="AM134" s="96" t="s">
        <v>111</v>
      </c>
      <c r="AN134" s="96" t="s">
        <v>163</v>
      </c>
      <c r="AO134" s="96" t="s">
        <v>111</v>
      </c>
      <c r="AP134" s="96"/>
      <c r="AQ134" s="133" t="s">
        <v>110</v>
      </c>
      <c r="AR134" s="2" t="s">
        <v>131</v>
      </c>
      <c r="AS134" s="2"/>
      <c r="AT134" s="95" t="s">
        <v>110</v>
      </c>
      <c r="AU134" s="96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</row>
    <row r="135" spans="1:324" x14ac:dyDescent="0.25">
      <c r="A135" s="1">
        <v>132</v>
      </c>
      <c r="B135" s="111"/>
      <c r="C135" s="112">
        <v>0.50347222222222221</v>
      </c>
      <c r="D135" s="96"/>
      <c r="E135" s="96"/>
      <c r="F135" s="96"/>
      <c r="G135" s="96"/>
      <c r="H135" s="96"/>
      <c r="I135" s="111"/>
      <c r="J135" s="96" t="s">
        <v>129</v>
      </c>
      <c r="K135" s="96"/>
      <c r="L135" s="96"/>
      <c r="M135" s="96" t="s">
        <v>123</v>
      </c>
      <c r="N135" s="96">
        <v>3070</v>
      </c>
      <c r="O135" s="96">
        <v>50</v>
      </c>
      <c r="P135" s="96">
        <v>34</v>
      </c>
      <c r="Q135" s="96">
        <v>4</v>
      </c>
      <c r="R135" s="96" t="s">
        <v>110</v>
      </c>
      <c r="S135" s="96" t="s">
        <v>110</v>
      </c>
      <c r="T135" s="96" t="s">
        <v>110</v>
      </c>
      <c r="U135" s="96" t="s">
        <v>132</v>
      </c>
      <c r="V135" s="2"/>
      <c r="W135" s="96">
        <v>9</v>
      </c>
      <c r="X135" s="96">
        <v>10</v>
      </c>
      <c r="Y135" s="96" t="s">
        <v>111</v>
      </c>
      <c r="Z135" s="96" t="s">
        <v>111</v>
      </c>
      <c r="AA135" s="96" t="s">
        <v>111</v>
      </c>
      <c r="AB135" s="96" t="s">
        <v>110</v>
      </c>
      <c r="AC135" s="96" t="s">
        <v>111</v>
      </c>
      <c r="AD135" s="96" t="s">
        <v>110</v>
      </c>
      <c r="AE135" s="96" t="s">
        <v>111</v>
      </c>
      <c r="AF135" s="96" t="s">
        <v>111</v>
      </c>
      <c r="AG135" s="96"/>
      <c r="AH135" s="96"/>
      <c r="AI135" s="96"/>
      <c r="AJ135" s="96"/>
      <c r="AK135" s="96"/>
      <c r="AL135" s="96"/>
      <c r="AM135" s="96"/>
      <c r="AN135" s="96" t="s">
        <v>215</v>
      </c>
      <c r="AO135" s="96" t="s">
        <v>111</v>
      </c>
      <c r="AP135" s="96"/>
      <c r="AQ135" s="133" t="s">
        <v>110</v>
      </c>
      <c r="AR135" s="2" t="s">
        <v>131</v>
      </c>
      <c r="AS135" s="2"/>
      <c r="AT135" s="95" t="s">
        <v>110</v>
      </c>
      <c r="AU135" s="96"/>
    </row>
    <row r="136" spans="1:324" x14ac:dyDescent="0.25">
      <c r="A136" s="1">
        <v>133</v>
      </c>
      <c r="B136" s="79">
        <v>45929</v>
      </c>
      <c r="C136" s="80">
        <v>0.53333333333333333</v>
      </c>
      <c r="D136" s="81"/>
      <c r="E136" s="81"/>
      <c r="F136" s="81"/>
      <c r="G136" s="81" t="s">
        <v>114</v>
      </c>
      <c r="H136" s="81" t="s">
        <v>128</v>
      </c>
      <c r="I136" s="79"/>
      <c r="J136" s="81" t="s">
        <v>122</v>
      </c>
      <c r="K136" s="81">
        <v>36</v>
      </c>
      <c r="L136" s="81">
        <v>4</v>
      </c>
      <c r="M136" s="81" t="s">
        <v>113</v>
      </c>
      <c r="N136" s="81">
        <v>2660</v>
      </c>
      <c r="O136" s="81">
        <v>49</v>
      </c>
      <c r="P136" s="81">
        <v>32</v>
      </c>
      <c r="Q136" s="81">
        <v>4</v>
      </c>
      <c r="R136" s="81" t="s">
        <v>110</v>
      </c>
      <c r="S136" s="81" t="s">
        <v>110</v>
      </c>
      <c r="T136" s="81" t="s">
        <v>110</v>
      </c>
      <c r="U136" s="81" t="s">
        <v>132</v>
      </c>
      <c r="V136" s="1"/>
      <c r="W136" s="81">
        <v>9</v>
      </c>
      <c r="X136" s="81">
        <v>10</v>
      </c>
      <c r="Y136" s="81" t="s">
        <v>111</v>
      </c>
      <c r="Z136" s="81" t="s">
        <v>111</v>
      </c>
      <c r="AA136" s="81" t="s">
        <v>111</v>
      </c>
      <c r="AB136" s="81" t="s">
        <v>111</v>
      </c>
      <c r="AC136" s="81" t="s">
        <v>111</v>
      </c>
      <c r="AD136" s="81" t="s">
        <v>110</v>
      </c>
      <c r="AE136" s="81" t="s">
        <v>111</v>
      </c>
      <c r="AF136" s="81" t="s">
        <v>111</v>
      </c>
      <c r="AG136" s="81" t="s">
        <v>142</v>
      </c>
      <c r="AH136" s="81" t="s">
        <v>111</v>
      </c>
      <c r="AI136" s="81" t="s">
        <v>125</v>
      </c>
      <c r="AJ136" s="81" t="s">
        <v>111</v>
      </c>
      <c r="AK136" s="81">
        <v>32</v>
      </c>
      <c r="AL136" s="81" t="s">
        <v>111</v>
      </c>
      <c r="AM136" s="81" t="s">
        <v>111</v>
      </c>
      <c r="AN136" s="81" t="s">
        <v>280</v>
      </c>
      <c r="AO136" s="81" t="s">
        <v>111</v>
      </c>
      <c r="AP136" s="81"/>
      <c r="AQ136" s="101" t="s">
        <v>110</v>
      </c>
      <c r="AR136" s="1" t="s">
        <v>112</v>
      </c>
      <c r="AS136" s="1"/>
      <c r="AT136" s="83"/>
    </row>
    <row r="137" spans="1:324" x14ac:dyDescent="0.25">
      <c r="A137" s="1">
        <v>134</v>
      </c>
      <c r="B137" s="79">
        <v>45929</v>
      </c>
      <c r="C137" s="80">
        <v>0.66527777777777775</v>
      </c>
      <c r="D137" s="81"/>
      <c r="E137" s="81"/>
      <c r="F137" s="81"/>
      <c r="G137" s="81" t="s">
        <v>114</v>
      </c>
      <c r="H137" s="81" t="s">
        <v>121</v>
      </c>
      <c r="I137" s="79"/>
      <c r="J137" s="81" t="s">
        <v>122</v>
      </c>
      <c r="K137" s="81">
        <v>38</v>
      </c>
      <c r="L137" s="81">
        <v>2</v>
      </c>
      <c r="M137" s="81" t="s">
        <v>113</v>
      </c>
      <c r="N137" s="81">
        <v>2920</v>
      </c>
      <c r="O137" s="81">
        <v>48</v>
      </c>
      <c r="P137" s="81">
        <v>34</v>
      </c>
      <c r="Q137" s="81">
        <v>4</v>
      </c>
      <c r="R137" s="81" t="s">
        <v>110</v>
      </c>
      <c r="S137" s="81" t="s">
        <v>110</v>
      </c>
      <c r="T137" s="81" t="s">
        <v>110</v>
      </c>
      <c r="U137" s="81" t="s">
        <v>132</v>
      </c>
      <c r="V137" s="1"/>
      <c r="W137" s="81">
        <v>9</v>
      </c>
      <c r="X137" s="81">
        <v>10</v>
      </c>
      <c r="Y137" s="81" t="s">
        <v>111</v>
      </c>
      <c r="Z137" s="81" t="s">
        <v>111</v>
      </c>
      <c r="AA137" s="81" t="s">
        <v>111</v>
      </c>
      <c r="AB137" s="81" t="s">
        <v>111</v>
      </c>
      <c r="AC137" s="81" t="s">
        <v>111</v>
      </c>
      <c r="AD137" s="81" t="s">
        <v>110</v>
      </c>
      <c r="AE137" s="81" t="s">
        <v>111</v>
      </c>
      <c r="AF137" s="81" t="s">
        <v>111</v>
      </c>
      <c r="AG137" s="81" t="s">
        <v>142</v>
      </c>
      <c r="AH137" s="81" t="s">
        <v>111</v>
      </c>
      <c r="AI137" s="81" t="s">
        <v>125</v>
      </c>
      <c r="AJ137" s="81" t="s">
        <v>111</v>
      </c>
      <c r="AK137" s="81">
        <v>36</v>
      </c>
      <c r="AL137" s="81" t="s">
        <v>111</v>
      </c>
      <c r="AM137" s="81" t="s">
        <v>111</v>
      </c>
      <c r="AN137" s="81" t="s">
        <v>160</v>
      </c>
      <c r="AO137" s="81" t="s">
        <v>111</v>
      </c>
      <c r="AP137" s="81"/>
      <c r="AQ137" s="101" t="s">
        <v>110</v>
      </c>
      <c r="AR137" s="1" t="s">
        <v>112</v>
      </c>
      <c r="AS137" s="1"/>
      <c r="AT137" s="83"/>
    </row>
    <row r="138" spans="1:324" x14ac:dyDescent="0.25">
      <c r="A138" s="1">
        <v>135</v>
      </c>
      <c r="B138" s="79">
        <v>45929</v>
      </c>
      <c r="C138" s="80">
        <v>0.72083333333333333</v>
      </c>
      <c r="D138" s="81"/>
      <c r="E138" s="81"/>
      <c r="F138" s="81"/>
      <c r="G138" s="81" t="s">
        <v>156</v>
      </c>
      <c r="H138" s="81" t="s">
        <v>156</v>
      </c>
      <c r="I138" s="79"/>
      <c r="J138" s="81" t="s">
        <v>127</v>
      </c>
      <c r="K138" s="81">
        <v>36</v>
      </c>
      <c r="L138" s="81">
        <v>6</v>
      </c>
      <c r="M138" s="81" t="s">
        <v>123</v>
      </c>
      <c r="N138" s="81">
        <v>3290</v>
      </c>
      <c r="O138" s="81">
        <v>50</v>
      </c>
      <c r="P138" s="81">
        <v>35</v>
      </c>
      <c r="Q138" s="81">
        <v>4</v>
      </c>
      <c r="R138" s="81" t="s">
        <v>110</v>
      </c>
      <c r="S138" s="81" t="s">
        <v>110</v>
      </c>
      <c r="T138" s="81" t="s">
        <v>110</v>
      </c>
      <c r="U138" s="81" t="s">
        <v>132</v>
      </c>
      <c r="V138" s="1"/>
      <c r="W138" s="81">
        <v>9</v>
      </c>
      <c r="X138" s="81">
        <v>10</v>
      </c>
      <c r="Y138" s="81" t="s">
        <v>111</v>
      </c>
      <c r="Z138" s="81" t="s">
        <v>111</v>
      </c>
      <c r="AA138" s="81" t="s">
        <v>111</v>
      </c>
      <c r="AB138" s="81" t="s">
        <v>111</v>
      </c>
      <c r="AC138" s="81" t="s">
        <v>111</v>
      </c>
      <c r="AD138" s="81" t="s">
        <v>110</v>
      </c>
      <c r="AE138" s="81" t="s">
        <v>111</v>
      </c>
      <c r="AF138" s="81" t="s">
        <v>111</v>
      </c>
      <c r="AG138" s="81" t="s">
        <v>142</v>
      </c>
      <c r="AH138" s="81" t="s">
        <v>111</v>
      </c>
      <c r="AI138" s="81" t="s">
        <v>125</v>
      </c>
      <c r="AJ138" s="81" t="s">
        <v>111</v>
      </c>
      <c r="AK138" s="81">
        <v>31</v>
      </c>
      <c r="AL138" s="81" t="s">
        <v>111</v>
      </c>
      <c r="AM138" s="81" t="s">
        <v>111</v>
      </c>
      <c r="AN138" s="81" t="s">
        <v>215</v>
      </c>
      <c r="AO138" s="81" t="s">
        <v>111</v>
      </c>
      <c r="AP138" s="81"/>
      <c r="AQ138" s="101" t="s">
        <v>110</v>
      </c>
      <c r="AR138" s="1" t="s">
        <v>131</v>
      </c>
      <c r="AS138" s="1"/>
      <c r="AT138" s="83" t="s">
        <v>110</v>
      </c>
    </row>
    <row r="139" spans="1:324" x14ac:dyDescent="0.25">
      <c r="A139" s="1">
        <v>136</v>
      </c>
      <c r="B139" s="79">
        <v>45929</v>
      </c>
      <c r="C139" s="80">
        <v>0.79236111111111107</v>
      </c>
      <c r="D139" s="81"/>
      <c r="E139" s="81"/>
      <c r="F139" s="81"/>
      <c r="G139" s="81" t="s">
        <v>114</v>
      </c>
      <c r="H139" s="81" t="s">
        <v>281</v>
      </c>
      <c r="I139" s="79"/>
      <c r="J139" s="81" t="s">
        <v>127</v>
      </c>
      <c r="K139" s="81">
        <v>37</v>
      </c>
      <c r="L139" s="81">
        <v>0</v>
      </c>
      <c r="M139" s="81" t="s">
        <v>113</v>
      </c>
      <c r="N139" s="81">
        <v>2090</v>
      </c>
      <c r="O139" s="81">
        <v>44</v>
      </c>
      <c r="P139" s="81">
        <v>32</v>
      </c>
      <c r="Q139" s="81">
        <v>4</v>
      </c>
      <c r="R139" s="81" t="s">
        <v>110</v>
      </c>
      <c r="S139" s="81" t="s">
        <v>110</v>
      </c>
      <c r="T139" s="81" t="s">
        <v>110</v>
      </c>
      <c r="U139" s="81" t="s">
        <v>132</v>
      </c>
      <c r="V139" s="1"/>
      <c r="W139" s="81">
        <v>9</v>
      </c>
      <c r="X139" s="81">
        <v>10</v>
      </c>
      <c r="Y139" s="81" t="s">
        <v>111</v>
      </c>
      <c r="Z139" s="81" t="s">
        <v>111</v>
      </c>
      <c r="AA139" s="81" t="s">
        <v>111</v>
      </c>
      <c r="AB139" s="81" t="s">
        <v>110</v>
      </c>
      <c r="AC139" s="81" t="s">
        <v>111</v>
      </c>
      <c r="AD139" s="81" t="s">
        <v>110</v>
      </c>
      <c r="AE139" s="81" t="s">
        <v>111</v>
      </c>
      <c r="AF139" s="81" t="s">
        <v>111</v>
      </c>
      <c r="AG139" s="81" t="s">
        <v>142</v>
      </c>
      <c r="AH139" s="81" t="s">
        <v>111</v>
      </c>
      <c r="AI139" s="81" t="s">
        <v>125</v>
      </c>
      <c r="AJ139" s="81" t="s">
        <v>111</v>
      </c>
      <c r="AK139" s="81">
        <v>25</v>
      </c>
      <c r="AL139" s="81" t="s">
        <v>111</v>
      </c>
      <c r="AM139" s="81" t="s">
        <v>111</v>
      </c>
      <c r="AN139" s="81" t="s">
        <v>282</v>
      </c>
      <c r="AO139" s="81" t="s">
        <v>110</v>
      </c>
      <c r="AP139" s="81" t="s">
        <v>283</v>
      </c>
      <c r="AQ139" s="101" t="s">
        <v>110</v>
      </c>
      <c r="AR139" s="1" t="s">
        <v>131</v>
      </c>
      <c r="AS139" s="1"/>
      <c r="AT139" s="83" t="s">
        <v>110</v>
      </c>
    </row>
    <row r="140" spans="1:324" x14ac:dyDescent="0.25">
      <c r="A140" s="1">
        <v>137</v>
      </c>
      <c r="B140" s="79">
        <v>45929</v>
      </c>
      <c r="C140" s="80">
        <v>0.86944444444444446</v>
      </c>
      <c r="D140" s="81"/>
      <c r="E140" s="81"/>
      <c r="F140" s="81"/>
      <c r="G140" s="81" t="s">
        <v>114</v>
      </c>
      <c r="H140" s="81" t="s">
        <v>128</v>
      </c>
      <c r="I140" s="79"/>
      <c r="J140" s="81" t="s">
        <v>122</v>
      </c>
      <c r="K140" s="81">
        <v>37</v>
      </c>
      <c r="L140" s="81">
        <v>5</v>
      </c>
      <c r="M140" s="81" t="s">
        <v>113</v>
      </c>
      <c r="N140" s="81">
        <v>2650</v>
      </c>
      <c r="O140" s="81">
        <v>46</v>
      </c>
      <c r="P140" s="81">
        <v>33</v>
      </c>
      <c r="Q140" s="81">
        <v>2</v>
      </c>
      <c r="R140" s="81" t="s">
        <v>110</v>
      </c>
      <c r="S140" s="81" t="s">
        <v>110</v>
      </c>
      <c r="T140" s="81" t="s">
        <v>110</v>
      </c>
      <c r="U140" s="81" t="s">
        <v>124</v>
      </c>
      <c r="V140" s="1"/>
      <c r="W140" s="81">
        <v>9</v>
      </c>
      <c r="X140" s="81">
        <v>10</v>
      </c>
      <c r="Y140" s="81" t="s">
        <v>111</v>
      </c>
      <c r="Z140" s="81" t="s">
        <v>111</v>
      </c>
      <c r="AA140" s="81" t="s">
        <v>111</v>
      </c>
      <c r="AB140" s="81" t="s">
        <v>111</v>
      </c>
      <c r="AC140" s="81" t="s">
        <v>111</v>
      </c>
      <c r="AD140" s="81" t="s">
        <v>110</v>
      </c>
      <c r="AE140" s="81" t="s">
        <v>111</v>
      </c>
      <c r="AF140" s="81" t="s">
        <v>111</v>
      </c>
      <c r="AG140" s="81" t="s">
        <v>142</v>
      </c>
      <c r="AH140" s="81" t="s">
        <v>111</v>
      </c>
      <c r="AI140" s="81" t="s">
        <v>125</v>
      </c>
      <c r="AJ140" s="81" t="s">
        <v>111</v>
      </c>
      <c r="AK140" s="81">
        <v>22</v>
      </c>
      <c r="AL140" s="81" t="s">
        <v>111</v>
      </c>
      <c r="AM140" s="81" t="s">
        <v>111</v>
      </c>
      <c r="AN140" s="81" t="s">
        <v>226</v>
      </c>
      <c r="AO140" s="81" t="s">
        <v>111</v>
      </c>
      <c r="AP140" s="81"/>
      <c r="AQ140" s="101" t="s">
        <v>110</v>
      </c>
      <c r="AR140" s="1" t="s">
        <v>112</v>
      </c>
      <c r="AS140" s="1"/>
      <c r="AT140" s="83"/>
    </row>
    <row r="141" spans="1:324" x14ac:dyDescent="0.25">
      <c r="A141" s="1">
        <v>138</v>
      </c>
      <c r="B141" s="79">
        <v>45930</v>
      </c>
      <c r="C141" s="80">
        <v>4.3055555555555562E-2</v>
      </c>
      <c r="D141" s="81"/>
      <c r="E141" s="81"/>
      <c r="F141" s="81"/>
      <c r="G141" s="81" t="s">
        <v>156</v>
      </c>
      <c r="H141" s="81" t="s">
        <v>156</v>
      </c>
      <c r="I141" s="79"/>
      <c r="J141" s="81" t="s">
        <v>127</v>
      </c>
      <c r="K141" s="81">
        <v>38</v>
      </c>
      <c r="L141" s="81">
        <v>1</v>
      </c>
      <c r="M141" s="81" t="s">
        <v>123</v>
      </c>
      <c r="N141" s="81">
        <v>3190</v>
      </c>
      <c r="O141" s="81">
        <v>51</v>
      </c>
      <c r="P141" s="81">
        <v>35</v>
      </c>
      <c r="Q141" s="81">
        <v>4</v>
      </c>
      <c r="R141" s="81" t="s">
        <v>110</v>
      </c>
      <c r="S141" s="81" t="s">
        <v>110</v>
      </c>
      <c r="T141" s="81" t="s">
        <v>110</v>
      </c>
      <c r="U141" s="81" t="s">
        <v>124</v>
      </c>
      <c r="V141" s="1"/>
      <c r="W141" s="81">
        <v>9</v>
      </c>
      <c r="X141" s="81">
        <v>9</v>
      </c>
      <c r="Y141" s="81" t="s">
        <v>111</v>
      </c>
      <c r="Z141" s="81" t="s">
        <v>111</v>
      </c>
      <c r="AA141" s="81" t="s">
        <v>111</v>
      </c>
      <c r="AB141" s="81" t="s">
        <v>110</v>
      </c>
      <c r="AC141" s="81" t="s">
        <v>111</v>
      </c>
      <c r="AD141" s="81" t="s">
        <v>110</v>
      </c>
      <c r="AE141" s="81" t="s">
        <v>111</v>
      </c>
      <c r="AF141" s="81" t="s">
        <v>111</v>
      </c>
      <c r="AG141" s="81" t="s">
        <v>142</v>
      </c>
      <c r="AH141" s="81" t="s">
        <v>111</v>
      </c>
      <c r="AI141" s="81" t="s">
        <v>125</v>
      </c>
      <c r="AJ141" s="81" t="s">
        <v>111</v>
      </c>
      <c r="AK141" s="81">
        <v>21</v>
      </c>
      <c r="AL141" s="81" t="s">
        <v>111</v>
      </c>
      <c r="AM141" s="81" t="s">
        <v>111</v>
      </c>
      <c r="AN141" s="81" t="s">
        <v>181</v>
      </c>
      <c r="AO141" s="81" t="s">
        <v>111</v>
      </c>
      <c r="AP141" s="81"/>
      <c r="AQ141" s="101" t="s">
        <v>110</v>
      </c>
      <c r="AR141" s="1" t="s">
        <v>131</v>
      </c>
      <c r="AS141" s="1"/>
      <c r="AT141" s="83"/>
    </row>
    <row r="142" spans="1:324" x14ac:dyDescent="0.25">
      <c r="A142" s="1">
        <v>139</v>
      </c>
      <c r="B142" s="79">
        <v>45930</v>
      </c>
      <c r="C142" s="80">
        <v>0.43958333333333338</v>
      </c>
      <c r="D142" s="81"/>
      <c r="E142" s="81"/>
      <c r="F142" s="81"/>
      <c r="G142" s="81" t="s">
        <v>266</v>
      </c>
      <c r="H142" s="81" t="s">
        <v>266</v>
      </c>
      <c r="I142" s="79"/>
      <c r="J142" s="81" t="s">
        <v>129</v>
      </c>
      <c r="K142" s="81">
        <v>39</v>
      </c>
      <c r="L142" s="81">
        <v>3</v>
      </c>
      <c r="M142" s="81" t="s">
        <v>123</v>
      </c>
      <c r="N142" s="81">
        <v>3930</v>
      </c>
      <c r="O142" s="81">
        <v>51</v>
      </c>
      <c r="P142" s="81">
        <v>34</v>
      </c>
      <c r="Q142" s="81">
        <v>4</v>
      </c>
      <c r="R142" s="81" t="s">
        <v>110</v>
      </c>
      <c r="S142" s="81" t="s">
        <v>110</v>
      </c>
      <c r="T142" s="81" t="s">
        <v>110</v>
      </c>
      <c r="U142" s="81" t="s">
        <v>130</v>
      </c>
      <c r="V142" s="1"/>
      <c r="W142" s="81">
        <v>9</v>
      </c>
      <c r="X142" s="81">
        <v>9</v>
      </c>
      <c r="Y142" s="81" t="s">
        <v>111</v>
      </c>
      <c r="Z142" s="81" t="s">
        <v>111</v>
      </c>
      <c r="AA142" s="81" t="s">
        <v>111</v>
      </c>
      <c r="AB142" s="81" t="s">
        <v>110</v>
      </c>
      <c r="AC142" s="81" t="s">
        <v>110</v>
      </c>
      <c r="AD142" s="81" t="s">
        <v>110</v>
      </c>
      <c r="AE142" s="81" t="s">
        <v>111</v>
      </c>
      <c r="AF142" s="81" t="s">
        <v>111</v>
      </c>
      <c r="AG142" s="81" t="s">
        <v>142</v>
      </c>
      <c r="AH142" s="81" t="s">
        <v>111</v>
      </c>
      <c r="AI142" s="81" t="s">
        <v>125</v>
      </c>
      <c r="AJ142" s="81" t="s">
        <v>111</v>
      </c>
      <c r="AK142" s="81">
        <v>28</v>
      </c>
      <c r="AL142" s="81" t="s">
        <v>111</v>
      </c>
      <c r="AM142" s="81" t="s">
        <v>111</v>
      </c>
      <c r="AN142" s="81" t="s">
        <v>196</v>
      </c>
      <c r="AO142" s="81" t="s">
        <v>111</v>
      </c>
      <c r="AP142" s="81"/>
      <c r="AQ142" s="101" t="s">
        <v>110</v>
      </c>
      <c r="AR142" s="1" t="s">
        <v>131</v>
      </c>
      <c r="AS142" s="1"/>
      <c r="AT142" s="83" t="s">
        <v>110</v>
      </c>
    </row>
    <row r="143" spans="1:324" x14ac:dyDescent="0.25">
      <c r="A143" s="1">
        <v>140</v>
      </c>
      <c r="B143" s="79">
        <v>45930</v>
      </c>
      <c r="C143" s="80">
        <v>0.60972222222222217</v>
      </c>
      <c r="D143" s="81"/>
      <c r="E143" s="81"/>
      <c r="F143" s="81"/>
      <c r="G143" s="81" t="s">
        <v>114</v>
      </c>
      <c r="H143" s="81" t="s">
        <v>149</v>
      </c>
      <c r="I143" s="79"/>
      <c r="J143" s="81" t="s">
        <v>122</v>
      </c>
      <c r="K143" s="81">
        <v>37</v>
      </c>
      <c r="L143" s="81">
        <v>3</v>
      </c>
      <c r="M143" s="81" t="s">
        <v>123</v>
      </c>
      <c r="N143" s="81">
        <v>3140</v>
      </c>
      <c r="O143" s="81">
        <v>50</v>
      </c>
      <c r="P143" s="81">
        <v>34</v>
      </c>
      <c r="Q143" s="81">
        <v>4</v>
      </c>
      <c r="R143" s="81" t="s">
        <v>110</v>
      </c>
      <c r="S143" s="81" t="s">
        <v>110</v>
      </c>
      <c r="T143" s="81" t="s">
        <v>110</v>
      </c>
      <c r="U143" s="81" t="s">
        <v>135</v>
      </c>
      <c r="V143" s="1"/>
      <c r="W143" s="81">
        <v>9</v>
      </c>
      <c r="X143" s="81">
        <v>10</v>
      </c>
      <c r="Y143" s="81" t="s">
        <v>111</v>
      </c>
      <c r="Z143" s="81" t="s">
        <v>111</v>
      </c>
      <c r="AA143" s="81" t="s">
        <v>111</v>
      </c>
      <c r="AB143" s="81" t="s">
        <v>111</v>
      </c>
      <c r="AC143" s="81" t="s">
        <v>111</v>
      </c>
      <c r="AD143" s="81" t="s">
        <v>110</v>
      </c>
      <c r="AE143" s="81" t="s">
        <v>111</v>
      </c>
      <c r="AF143" s="81" t="s">
        <v>111</v>
      </c>
      <c r="AG143" s="81" t="s">
        <v>142</v>
      </c>
      <c r="AH143" s="81" t="s">
        <v>111</v>
      </c>
      <c r="AI143" s="81" t="s">
        <v>125</v>
      </c>
      <c r="AJ143" s="81" t="s">
        <v>111</v>
      </c>
      <c r="AK143" s="81">
        <v>36</v>
      </c>
      <c r="AL143" s="81" t="s">
        <v>111</v>
      </c>
      <c r="AM143" s="81" t="s">
        <v>111</v>
      </c>
      <c r="AN143" s="81" t="s">
        <v>189</v>
      </c>
      <c r="AO143" s="81" t="s">
        <v>111</v>
      </c>
      <c r="AP143" s="81"/>
      <c r="AQ143" s="101" t="s">
        <v>110</v>
      </c>
      <c r="AR143" s="1" t="s">
        <v>112</v>
      </c>
      <c r="AS143" s="1"/>
      <c r="AT143" s="83"/>
    </row>
    <row r="144" spans="1:324" x14ac:dyDescent="0.25">
      <c r="A144" s="1">
        <v>141</v>
      </c>
      <c r="B144" s="79">
        <v>45930</v>
      </c>
      <c r="C144" s="80">
        <v>0.69444444444444453</v>
      </c>
      <c r="D144" s="81"/>
      <c r="E144" s="81"/>
      <c r="F144" s="81"/>
      <c r="G144" s="81" t="s">
        <v>147</v>
      </c>
      <c r="H144" s="81" t="s">
        <v>147</v>
      </c>
      <c r="I144" s="79"/>
      <c r="J144" s="81" t="s">
        <v>122</v>
      </c>
      <c r="K144" s="81">
        <v>38</v>
      </c>
      <c r="L144" s="81">
        <v>4</v>
      </c>
      <c r="M144" s="81" t="s">
        <v>123</v>
      </c>
      <c r="N144" s="81">
        <v>3670</v>
      </c>
      <c r="O144" s="81">
        <v>50</v>
      </c>
      <c r="P144" s="81">
        <v>35</v>
      </c>
      <c r="Q144" s="81">
        <v>4</v>
      </c>
      <c r="R144" s="81" t="s">
        <v>110</v>
      </c>
      <c r="S144" s="81" t="s">
        <v>110</v>
      </c>
      <c r="T144" s="81" t="s">
        <v>110</v>
      </c>
      <c r="U144" s="81" t="s">
        <v>135</v>
      </c>
      <c r="V144" s="1"/>
      <c r="W144" s="81">
        <v>9</v>
      </c>
      <c r="X144" s="81">
        <v>9</v>
      </c>
      <c r="Y144" s="81" t="s">
        <v>111</v>
      </c>
      <c r="Z144" s="81" t="s">
        <v>111</v>
      </c>
      <c r="AA144" s="81" t="s">
        <v>111</v>
      </c>
      <c r="AB144" s="81" t="s">
        <v>111</v>
      </c>
      <c r="AC144" s="81" t="s">
        <v>111</v>
      </c>
      <c r="AD144" s="81" t="s">
        <v>110</v>
      </c>
      <c r="AE144" s="81" t="s">
        <v>111</v>
      </c>
      <c r="AF144" s="81" t="s">
        <v>111</v>
      </c>
      <c r="AG144" s="81" t="s">
        <v>142</v>
      </c>
      <c r="AH144" s="81" t="s">
        <v>111</v>
      </c>
      <c r="AI144" s="81" t="s">
        <v>125</v>
      </c>
      <c r="AJ144" s="81" t="s">
        <v>111</v>
      </c>
      <c r="AK144" s="81">
        <v>18</v>
      </c>
      <c r="AL144" s="81" t="s">
        <v>111</v>
      </c>
      <c r="AM144" s="81" t="s">
        <v>111</v>
      </c>
      <c r="AN144" s="81" t="s">
        <v>284</v>
      </c>
      <c r="AO144" s="81" t="s">
        <v>111</v>
      </c>
      <c r="AP144" s="81"/>
      <c r="AQ144" s="101" t="s">
        <v>110</v>
      </c>
      <c r="AR144" s="1" t="s">
        <v>112</v>
      </c>
      <c r="AS144" s="1"/>
      <c r="AT144" s="83"/>
    </row>
    <row r="145" spans="1:324" x14ac:dyDescent="0.25">
      <c r="A145" s="1">
        <v>142</v>
      </c>
      <c r="B145" s="79">
        <v>45930</v>
      </c>
      <c r="C145" s="80">
        <v>0.7944444444444444</v>
      </c>
      <c r="D145" s="81"/>
      <c r="E145" s="81"/>
      <c r="F145" s="81"/>
      <c r="G145" s="81" t="s">
        <v>114</v>
      </c>
      <c r="H145" s="81" t="s">
        <v>177</v>
      </c>
      <c r="I145" s="79"/>
      <c r="J145" s="81" t="s">
        <v>122</v>
      </c>
      <c r="K145" s="81">
        <v>40</v>
      </c>
      <c r="L145" s="81">
        <v>1</v>
      </c>
      <c r="M145" s="81" t="s">
        <v>123</v>
      </c>
      <c r="N145" s="81">
        <v>3470</v>
      </c>
      <c r="O145" s="81">
        <v>51</v>
      </c>
      <c r="P145" s="81">
        <v>35.5</v>
      </c>
      <c r="Q145" s="81">
        <v>4</v>
      </c>
      <c r="R145" s="81" t="s">
        <v>110</v>
      </c>
      <c r="S145" s="81" t="s">
        <v>110</v>
      </c>
      <c r="T145" s="81" t="s">
        <v>110</v>
      </c>
      <c r="U145" s="81" t="s">
        <v>135</v>
      </c>
      <c r="V145" s="1"/>
      <c r="W145" s="81">
        <v>9</v>
      </c>
      <c r="X145" s="81">
        <v>10</v>
      </c>
      <c r="Y145" s="81" t="s">
        <v>111</v>
      </c>
      <c r="Z145" s="81" t="s">
        <v>111</v>
      </c>
      <c r="AA145" s="81" t="s">
        <v>111</v>
      </c>
      <c r="AB145" s="81" t="s">
        <v>111</v>
      </c>
      <c r="AC145" s="81" t="s">
        <v>111</v>
      </c>
      <c r="AD145" s="81" t="s">
        <v>110</v>
      </c>
      <c r="AE145" s="81" t="s">
        <v>111</v>
      </c>
      <c r="AF145" s="81" t="s">
        <v>111</v>
      </c>
      <c r="AG145" s="81" t="s">
        <v>142</v>
      </c>
      <c r="AH145" s="81" t="s">
        <v>111</v>
      </c>
      <c r="AI145" s="81" t="s">
        <v>125</v>
      </c>
      <c r="AJ145" s="81" t="s">
        <v>111</v>
      </c>
      <c r="AK145" s="81">
        <v>21</v>
      </c>
      <c r="AL145" s="81" t="s">
        <v>111</v>
      </c>
      <c r="AM145" s="81" t="s">
        <v>111</v>
      </c>
      <c r="AN145" s="81" t="s">
        <v>158</v>
      </c>
      <c r="AO145" s="81" t="s">
        <v>111</v>
      </c>
      <c r="AP145" s="81"/>
      <c r="AQ145" s="101" t="s">
        <v>110</v>
      </c>
      <c r="AR145" s="1" t="s">
        <v>112</v>
      </c>
      <c r="AS145" s="1"/>
      <c r="AT145" s="83"/>
      <c r="AV145" s="140"/>
      <c r="AW145" s="140"/>
      <c r="AX145" s="140"/>
      <c r="AY145" s="140"/>
      <c r="AZ145" s="140"/>
      <c r="BA145" s="140"/>
      <c r="BB145" s="140"/>
      <c r="BC145" s="140"/>
      <c r="BD145" s="140"/>
      <c r="BE145" s="140"/>
      <c r="BF145" s="140"/>
      <c r="BG145" s="140"/>
      <c r="BH145" s="140"/>
      <c r="BI145" s="140"/>
      <c r="BJ145" s="140"/>
      <c r="BK145" s="140"/>
      <c r="BL145" s="140"/>
      <c r="BM145" s="140"/>
      <c r="BN145" s="140"/>
      <c r="BO145" s="140"/>
      <c r="BP145" s="140"/>
      <c r="BQ145" s="140"/>
      <c r="BR145" s="140"/>
      <c r="BS145" s="140"/>
      <c r="BT145" s="140"/>
      <c r="BU145" s="140"/>
      <c r="BV145" s="140"/>
      <c r="BW145" s="140"/>
      <c r="BX145" s="140"/>
      <c r="BY145" s="140"/>
      <c r="BZ145" s="140"/>
      <c r="CA145" s="140"/>
      <c r="CB145" s="140"/>
      <c r="CC145" s="140"/>
      <c r="CD145" s="140"/>
      <c r="CE145" s="140"/>
      <c r="CF145" s="140"/>
      <c r="CG145" s="140"/>
      <c r="CH145" s="140"/>
      <c r="CI145" s="140"/>
      <c r="CJ145" s="140"/>
      <c r="CK145" s="140"/>
      <c r="CL145" s="140"/>
      <c r="CM145" s="140"/>
      <c r="CN145" s="140"/>
      <c r="CO145" s="140"/>
      <c r="CP145" s="140"/>
      <c r="CQ145" s="140"/>
      <c r="CR145" s="140"/>
      <c r="CS145" s="140"/>
      <c r="CT145" s="140"/>
      <c r="CU145" s="140"/>
      <c r="CV145" s="140"/>
      <c r="CW145" s="140"/>
      <c r="CX145" s="140"/>
      <c r="CY145" s="140"/>
      <c r="CZ145" s="140"/>
      <c r="DA145" s="140"/>
      <c r="DB145" s="140"/>
      <c r="DC145" s="140"/>
      <c r="DD145" s="140"/>
      <c r="DE145" s="140"/>
      <c r="DF145" s="140"/>
      <c r="DG145" s="140"/>
      <c r="DH145" s="140"/>
      <c r="DI145" s="140"/>
      <c r="DJ145" s="140"/>
      <c r="DK145" s="140"/>
      <c r="DL145" s="140"/>
      <c r="DM145" s="140"/>
      <c r="DN145" s="140"/>
      <c r="DO145" s="140"/>
      <c r="DP145" s="140"/>
      <c r="DQ145" s="140"/>
      <c r="DR145" s="140"/>
      <c r="DS145" s="140"/>
      <c r="DT145" s="140"/>
      <c r="DU145" s="140"/>
      <c r="DV145" s="140"/>
      <c r="DW145" s="140"/>
      <c r="DX145" s="140"/>
      <c r="DY145" s="140"/>
      <c r="DZ145" s="140"/>
      <c r="EA145" s="140"/>
      <c r="EB145" s="140"/>
      <c r="EC145" s="140"/>
      <c r="ED145" s="140"/>
      <c r="EE145" s="140"/>
      <c r="EF145" s="140"/>
      <c r="EG145" s="140"/>
      <c r="EH145" s="140"/>
      <c r="EI145" s="140"/>
      <c r="EJ145" s="140"/>
      <c r="EK145" s="140"/>
      <c r="EL145" s="140"/>
      <c r="EM145" s="140"/>
      <c r="EN145" s="140"/>
      <c r="EO145" s="140"/>
      <c r="EP145" s="140"/>
      <c r="EQ145" s="140"/>
      <c r="ER145" s="140"/>
      <c r="ES145" s="140"/>
      <c r="ET145" s="140"/>
      <c r="EU145" s="140"/>
      <c r="EV145" s="140"/>
      <c r="EW145" s="140"/>
      <c r="EX145" s="140"/>
      <c r="EY145" s="140"/>
      <c r="EZ145" s="140"/>
      <c r="FA145" s="140"/>
      <c r="FB145" s="140"/>
      <c r="FC145" s="140"/>
      <c r="FD145" s="140"/>
      <c r="FE145" s="140"/>
      <c r="FF145" s="140"/>
      <c r="FG145" s="140"/>
      <c r="FH145" s="140"/>
      <c r="FI145" s="140"/>
      <c r="FJ145" s="140"/>
      <c r="FK145" s="140"/>
      <c r="FL145" s="140"/>
      <c r="FM145" s="140"/>
      <c r="FN145" s="140"/>
      <c r="FO145" s="140"/>
      <c r="FP145" s="140"/>
      <c r="FQ145" s="140"/>
      <c r="FR145" s="140"/>
      <c r="FS145" s="140"/>
      <c r="FT145" s="140"/>
      <c r="FU145" s="140"/>
      <c r="FV145" s="140"/>
      <c r="FW145" s="140"/>
      <c r="FX145" s="140"/>
      <c r="FY145" s="140"/>
      <c r="FZ145" s="140"/>
      <c r="GA145" s="140"/>
      <c r="GB145" s="140"/>
      <c r="GC145" s="140"/>
      <c r="GD145" s="140"/>
      <c r="GE145" s="140"/>
      <c r="GF145" s="140"/>
      <c r="GG145" s="140"/>
      <c r="GH145" s="140"/>
      <c r="GI145" s="140"/>
      <c r="GJ145" s="140"/>
      <c r="GK145" s="140"/>
      <c r="GL145" s="140"/>
      <c r="GM145" s="140"/>
      <c r="GN145" s="140"/>
      <c r="GO145" s="140"/>
      <c r="GP145" s="140"/>
      <c r="GQ145" s="140"/>
      <c r="GR145" s="140"/>
      <c r="GS145" s="140"/>
      <c r="GT145" s="140"/>
      <c r="GU145" s="140"/>
      <c r="GV145" s="140"/>
      <c r="GW145" s="140"/>
      <c r="GX145" s="140"/>
      <c r="GY145" s="140"/>
      <c r="GZ145" s="140"/>
      <c r="HA145" s="140"/>
      <c r="HB145" s="140"/>
      <c r="HC145" s="140"/>
      <c r="HD145" s="140"/>
      <c r="HE145" s="140"/>
      <c r="HF145" s="140"/>
      <c r="HG145" s="140"/>
      <c r="HH145" s="140"/>
      <c r="HI145" s="140"/>
      <c r="HJ145" s="140"/>
      <c r="HK145" s="140"/>
      <c r="HL145" s="140"/>
      <c r="HM145" s="140"/>
      <c r="HN145" s="140"/>
      <c r="HO145" s="140"/>
      <c r="HP145" s="140"/>
      <c r="HQ145" s="140"/>
      <c r="HR145" s="140"/>
      <c r="HS145" s="140"/>
      <c r="HT145" s="140"/>
      <c r="HU145" s="140"/>
      <c r="HV145" s="140"/>
      <c r="HW145" s="140"/>
      <c r="HX145" s="140"/>
      <c r="HY145" s="140"/>
      <c r="HZ145" s="140"/>
      <c r="IA145" s="140"/>
      <c r="IB145" s="140"/>
      <c r="IC145" s="140"/>
      <c r="ID145" s="140"/>
      <c r="IE145" s="140"/>
      <c r="IF145" s="140"/>
      <c r="IG145" s="140"/>
      <c r="IH145" s="140"/>
      <c r="II145" s="140"/>
      <c r="IJ145" s="140"/>
      <c r="IK145" s="140"/>
      <c r="IL145" s="140"/>
      <c r="IM145" s="140"/>
      <c r="IN145" s="140"/>
      <c r="IO145" s="140"/>
      <c r="IP145" s="140"/>
      <c r="IQ145" s="140"/>
      <c r="IR145" s="140"/>
      <c r="IS145" s="140"/>
      <c r="IT145" s="140"/>
      <c r="IU145" s="140"/>
      <c r="IV145" s="140"/>
      <c r="IW145" s="140"/>
      <c r="IX145" s="140"/>
      <c r="IY145" s="140"/>
      <c r="IZ145" s="140"/>
      <c r="JA145" s="140"/>
      <c r="JB145" s="140"/>
      <c r="JC145" s="140"/>
      <c r="JD145" s="140"/>
      <c r="JE145" s="140"/>
      <c r="JF145" s="140"/>
      <c r="JG145" s="140"/>
      <c r="JH145" s="140"/>
      <c r="JI145" s="140"/>
      <c r="JJ145" s="140"/>
      <c r="JK145" s="140"/>
      <c r="JL145" s="140"/>
      <c r="JM145" s="140"/>
      <c r="JN145" s="140"/>
      <c r="JO145" s="140"/>
      <c r="JP145" s="140"/>
      <c r="JQ145" s="140"/>
      <c r="JR145" s="140"/>
      <c r="JS145" s="140"/>
      <c r="JT145" s="140"/>
      <c r="JU145" s="140"/>
      <c r="JV145" s="140"/>
      <c r="JW145" s="140"/>
      <c r="JX145" s="140"/>
      <c r="JY145" s="140"/>
      <c r="JZ145" s="140"/>
      <c r="KA145" s="140"/>
      <c r="KB145" s="140"/>
      <c r="KC145" s="140"/>
      <c r="KD145" s="140"/>
      <c r="KE145" s="140"/>
      <c r="KF145" s="140"/>
      <c r="KG145" s="140"/>
      <c r="KH145" s="140"/>
      <c r="KI145" s="140"/>
      <c r="KJ145" s="140"/>
      <c r="KK145" s="140"/>
      <c r="KL145" s="140"/>
      <c r="KM145" s="140"/>
      <c r="KN145" s="140"/>
      <c r="KO145" s="140"/>
      <c r="KP145" s="140"/>
      <c r="KQ145" s="140"/>
      <c r="KR145" s="140"/>
      <c r="KS145" s="140"/>
      <c r="KT145" s="140"/>
      <c r="KU145" s="140"/>
      <c r="KV145" s="140"/>
      <c r="KW145" s="140"/>
      <c r="KX145" s="140"/>
      <c r="KY145" s="140"/>
      <c r="KZ145" s="140"/>
      <c r="LA145" s="140"/>
      <c r="LB145" s="140"/>
      <c r="LC145" s="140"/>
      <c r="LD145" s="140"/>
      <c r="LE145" s="140"/>
      <c r="LF145" s="140"/>
      <c r="LG145" s="140"/>
      <c r="LH145" s="140"/>
      <c r="LI145" s="140"/>
      <c r="LJ145" s="140"/>
      <c r="LK145" s="140"/>
      <c r="LL145" s="140"/>
    </row>
    <row r="146" spans="1:324" x14ac:dyDescent="0.25">
      <c r="A146" s="1">
        <v>143</v>
      </c>
      <c r="B146" s="79">
        <v>45930</v>
      </c>
      <c r="C146" s="80">
        <v>0.84027777777777779</v>
      </c>
      <c r="D146" s="81"/>
      <c r="E146" s="81"/>
      <c r="F146" s="81"/>
      <c r="G146" s="81" t="s">
        <v>114</v>
      </c>
      <c r="H146" s="81" t="s">
        <v>209</v>
      </c>
      <c r="I146" s="79"/>
      <c r="J146" s="81" t="s">
        <v>122</v>
      </c>
      <c r="K146" s="81">
        <v>34</v>
      </c>
      <c r="L146" s="81">
        <v>0</v>
      </c>
      <c r="M146" s="81" t="s">
        <v>123</v>
      </c>
      <c r="N146" s="81">
        <v>2190</v>
      </c>
      <c r="O146" s="81">
        <v>47</v>
      </c>
      <c r="P146" s="81">
        <v>32</v>
      </c>
      <c r="Q146" s="81">
        <v>4</v>
      </c>
      <c r="R146" s="81" t="s">
        <v>110</v>
      </c>
      <c r="S146" s="81" t="s">
        <v>110</v>
      </c>
      <c r="T146" s="81" t="s">
        <v>110</v>
      </c>
      <c r="U146" s="81" t="s">
        <v>132</v>
      </c>
      <c r="V146" s="1"/>
      <c r="W146" s="81">
        <v>9</v>
      </c>
      <c r="X146" s="81">
        <v>10</v>
      </c>
      <c r="Y146" s="81" t="s">
        <v>111</v>
      </c>
      <c r="Z146" s="81" t="s">
        <v>111</v>
      </c>
      <c r="AA146" s="81" t="s">
        <v>111</v>
      </c>
      <c r="AB146" s="81" t="s">
        <v>111</v>
      </c>
      <c r="AC146" s="81" t="s">
        <v>111</v>
      </c>
      <c r="AD146" s="81" t="s">
        <v>110</v>
      </c>
      <c r="AE146" s="81" t="s">
        <v>111</v>
      </c>
      <c r="AF146" s="81" t="s">
        <v>111</v>
      </c>
      <c r="AG146" s="81" t="s">
        <v>142</v>
      </c>
      <c r="AH146" s="81" t="s">
        <v>111</v>
      </c>
      <c r="AI146" s="81" t="s">
        <v>125</v>
      </c>
      <c r="AJ146" s="81" t="s">
        <v>111</v>
      </c>
      <c r="AK146" s="81">
        <v>35</v>
      </c>
      <c r="AL146" s="81" t="s">
        <v>111</v>
      </c>
      <c r="AM146" s="81" t="s">
        <v>111</v>
      </c>
      <c r="AN146" s="81" t="s">
        <v>285</v>
      </c>
      <c r="AO146" s="81" t="s">
        <v>111</v>
      </c>
      <c r="AP146" s="81"/>
      <c r="AQ146" s="101" t="s">
        <v>110</v>
      </c>
      <c r="AR146" s="1" t="s">
        <v>112</v>
      </c>
      <c r="AS146" s="1"/>
      <c r="AT146" s="83">
        <f>-B1469</f>
        <v>0</v>
      </c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78"/>
      <c r="CO146" s="78"/>
      <c r="CP146" s="78"/>
      <c r="CQ146" s="78"/>
      <c r="CR146" s="78"/>
      <c r="CS146" s="78"/>
      <c r="CT146" s="78"/>
      <c r="CU146" s="78"/>
      <c r="CV146" s="78"/>
      <c r="CW146" s="78"/>
      <c r="CX146" s="78"/>
      <c r="CY146" s="78"/>
      <c r="CZ146" s="78"/>
      <c r="DA146" s="78"/>
      <c r="DB146" s="78"/>
      <c r="DC146" s="78"/>
      <c r="DD146" s="78"/>
      <c r="DE146" s="78"/>
      <c r="DF146" s="78"/>
      <c r="DG146" s="78"/>
      <c r="DH146" s="78"/>
      <c r="DI146" s="78"/>
      <c r="DJ146" s="78"/>
      <c r="DK146" s="78"/>
      <c r="DL146" s="78"/>
      <c r="DM146" s="78"/>
      <c r="DN146" s="78"/>
      <c r="DO146" s="78"/>
      <c r="DP146" s="78"/>
      <c r="DQ146" s="78"/>
      <c r="DR146" s="78"/>
      <c r="DS146" s="78"/>
      <c r="DT146" s="78"/>
      <c r="DU146" s="78"/>
      <c r="DV146" s="78"/>
      <c r="DW146" s="78"/>
      <c r="DX146" s="78"/>
      <c r="DY146" s="78"/>
      <c r="DZ146" s="78"/>
      <c r="EA146" s="78"/>
      <c r="EB146" s="78"/>
      <c r="EC146" s="78"/>
      <c r="ED146" s="78"/>
      <c r="EE146" s="78"/>
      <c r="EF146" s="78"/>
      <c r="EG146" s="78"/>
      <c r="EH146" s="78"/>
      <c r="EI146" s="78"/>
      <c r="EJ146" s="78"/>
      <c r="EK146" s="78"/>
      <c r="EL146" s="78"/>
      <c r="EM146" s="78"/>
      <c r="EN146" s="78"/>
      <c r="EO146" s="78"/>
      <c r="EP146" s="78"/>
      <c r="EQ146" s="78"/>
      <c r="ER146" s="78"/>
      <c r="ES146" s="78"/>
      <c r="ET146" s="78"/>
      <c r="EU146" s="78"/>
      <c r="EV146" s="78"/>
      <c r="EW146" s="78"/>
      <c r="EX146" s="78"/>
      <c r="EY146" s="78"/>
      <c r="EZ146" s="78"/>
      <c r="FA146" s="78"/>
      <c r="FB146" s="78"/>
      <c r="FC146" s="78"/>
      <c r="FD146" s="78"/>
      <c r="FE146" s="78"/>
      <c r="FF146" s="78"/>
      <c r="FG146" s="78"/>
      <c r="FH146" s="78"/>
      <c r="FI146" s="78"/>
      <c r="FJ146" s="78"/>
      <c r="FK146" s="78"/>
      <c r="FL146" s="78"/>
      <c r="FM146" s="78"/>
      <c r="FN146" s="78"/>
      <c r="FO146" s="78"/>
      <c r="FP146" s="78"/>
      <c r="FQ146" s="78"/>
      <c r="FR146" s="78"/>
      <c r="FS146" s="78"/>
      <c r="FT146" s="78"/>
      <c r="FU146" s="78"/>
      <c r="FV146" s="78"/>
      <c r="FW146" s="78"/>
      <c r="FX146" s="78"/>
      <c r="FY146" s="78"/>
      <c r="FZ146" s="78"/>
      <c r="GA146" s="78"/>
      <c r="GB146" s="78"/>
      <c r="GC146" s="78"/>
      <c r="GD146" s="78"/>
      <c r="GE146" s="78"/>
      <c r="GF146" s="78"/>
      <c r="GG146" s="78"/>
      <c r="GH146" s="78"/>
      <c r="GI146" s="78"/>
      <c r="GJ146" s="78"/>
      <c r="GK146" s="78"/>
      <c r="GL146" s="78"/>
      <c r="GM146" s="78"/>
      <c r="GN146" s="78"/>
      <c r="GO146" s="78"/>
      <c r="GP146" s="78"/>
      <c r="GQ146" s="78"/>
      <c r="GR146" s="78"/>
      <c r="GS146" s="78"/>
      <c r="GT146" s="78"/>
      <c r="GU146" s="78"/>
      <c r="GV146" s="78"/>
      <c r="GW146" s="78"/>
      <c r="GX146" s="78"/>
      <c r="GY146" s="78"/>
      <c r="GZ146" s="78"/>
      <c r="HA146" s="78"/>
      <c r="HB146" s="78"/>
      <c r="HC146" s="78"/>
      <c r="HD146" s="78"/>
      <c r="HE146" s="78"/>
      <c r="HF146" s="78"/>
      <c r="HG146" s="78"/>
      <c r="HH146" s="78"/>
      <c r="HI146" s="78"/>
      <c r="HJ146" s="78"/>
      <c r="HK146" s="78"/>
      <c r="HL146" s="78"/>
      <c r="HM146" s="78"/>
      <c r="HN146" s="78"/>
      <c r="HO146" s="78"/>
      <c r="HP146" s="78"/>
      <c r="HQ146" s="78"/>
      <c r="HR146" s="78"/>
      <c r="HS146" s="78"/>
      <c r="HT146" s="78"/>
      <c r="HU146" s="78"/>
      <c r="HV146" s="78"/>
      <c r="HW146" s="78"/>
      <c r="HX146" s="78"/>
      <c r="HY146" s="78"/>
      <c r="HZ146" s="78"/>
      <c r="IA146" s="78"/>
      <c r="IB146" s="78"/>
      <c r="IC146" s="78"/>
      <c r="ID146" s="78"/>
      <c r="IE146" s="78"/>
      <c r="IF146" s="78"/>
      <c r="IG146" s="78"/>
      <c r="IH146" s="78"/>
      <c r="II146" s="78"/>
      <c r="IJ146" s="78"/>
      <c r="IK146" s="78"/>
      <c r="IL146" s="78"/>
      <c r="IM146" s="78"/>
      <c r="IN146" s="78"/>
      <c r="IO146" s="78"/>
      <c r="IP146" s="78"/>
      <c r="IQ146" s="78"/>
      <c r="IR146" s="78"/>
      <c r="IS146" s="78"/>
      <c r="IT146" s="78"/>
      <c r="IU146" s="78"/>
      <c r="IV146" s="78"/>
      <c r="IW146" s="78"/>
      <c r="IX146" s="78"/>
      <c r="IY146" s="78"/>
      <c r="IZ146" s="78"/>
      <c r="JA146" s="78"/>
      <c r="JB146" s="78"/>
      <c r="JC146" s="78"/>
      <c r="JD146" s="78"/>
      <c r="JE146" s="78"/>
      <c r="JF146" s="78"/>
      <c r="JG146" s="78"/>
      <c r="JH146" s="78"/>
      <c r="JI146" s="78"/>
      <c r="JJ146" s="78"/>
      <c r="JK146" s="78"/>
      <c r="JL146" s="78"/>
      <c r="JM146" s="78"/>
      <c r="JN146" s="78"/>
      <c r="JO146" s="78"/>
      <c r="JP146" s="78"/>
      <c r="JQ146" s="78"/>
      <c r="JR146" s="78"/>
      <c r="JS146" s="78"/>
      <c r="JT146" s="78"/>
      <c r="JU146" s="78"/>
      <c r="JV146" s="78"/>
      <c r="JW146" s="78"/>
      <c r="JX146" s="78"/>
      <c r="JY146" s="78"/>
      <c r="JZ146" s="78"/>
      <c r="KA146" s="78"/>
      <c r="KB146" s="78"/>
      <c r="KC146" s="78"/>
      <c r="KD146" s="78"/>
      <c r="KE146" s="78"/>
      <c r="KF146" s="78"/>
      <c r="KG146" s="78"/>
      <c r="KH146" s="78"/>
      <c r="KI146" s="78"/>
      <c r="KJ146" s="78"/>
      <c r="KK146" s="78"/>
      <c r="KL146" s="78"/>
      <c r="KM146" s="78"/>
      <c r="KN146" s="78"/>
      <c r="KO146" s="78"/>
      <c r="KP146" s="78"/>
      <c r="KQ146" s="78"/>
      <c r="KR146" s="78"/>
      <c r="KS146" s="78"/>
      <c r="KT146" s="78"/>
      <c r="KU146" s="78"/>
      <c r="KV146" s="78"/>
      <c r="KW146" s="78"/>
      <c r="KX146" s="78"/>
      <c r="KY146" s="78"/>
      <c r="KZ146" s="78"/>
      <c r="LA146" s="78"/>
      <c r="LB146" s="78"/>
      <c r="LC146" s="78"/>
      <c r="LD146" s="78"/>
      <c r="LE146" s="78"/>
      <c r="LF146" s="78"/>
      <c r="LG146" s="78"/>
      <c r="LH146" s="78"/>
      <c r="LI146" s="78"/>
      <c r="LJ146" s="78"/>
      <c r="LK146" s="78"/>
      <c r="LL146" s="78"/>
    </row>
    <row r="147" spans="1:324" x14ac:dyDescent="0.25">
      <c r="A147" s="8">
        <v>152</v>
      </c>
      <c r="B147" s="79"/>
      <c r="C147" s="80"/>
      <c r="D147" s="81"/>
      <c r="E147" s="81"/>
      <c r="F147" s="81"/>
      <c r="G147" s="81"/>
      <c r="H147" s="81"/>
      <c r="I147" s="79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101"/>
      <c r="AR147" s="1"/>
      <c r="AS147" s="1"/>
      <c r="AT147" s="83"/>
    </row>
    <row r="148" spans="1:324" x14ac:dyDescent="0.25">
      <c r="A148" s="8">
        <v>153</v>
      </c>
      <c r="B148" s="79"/>
      <c r="C148" s="80"/>
      <c r="D148" s="81"/>
      <c r="E148" s="81"/>
      <c r="F148" s="81"/>
      <c r="G148" s="81"/>
      <c r="H148" s="81"/>
      <c r="I148" s="79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101"/>
      <c r="AR148" s="1"/>
      <c r="AS148" s="1"/>
      <c r="AT148" s="83"/>
    </row>
    <row r="149" spans="1:324" x14ac:dyDescent="0.25">
      <c r="A149" s="1">
        <v>154</v>
      </c>
      <c r="B149" s="79"/>
      <c r="C149" s="80"/>
      <c r="D149" s="81"/>
      <c r="E149" s="81"/>
      <c r="F149" s="81"/>
      <c r="G149" s="81"/>
      <c r="H149" s="81"/>
      <c r="I149" s="79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101"/>
      <c r="AR149" s="1"/>
      <c r="AS149" s="1"/>
      <c r="AT149" s="83"/>
    </row>
    <row r="150" spans="1:324" x14ac:dyDescent="0.25">
      <c r="A150" s="8">
        <v>155</v>
      </c>
      <c r="B150" s="79"/>
      <c r="C150" s="80"/>
      <c r="D150" s="81"/>
      <c r="E150" s="81"/>
      <c r="F150" s="81"/>
      <c r="G150" s="81"/>
      <c r="H150" s="81"/>
      <c r="I150" s="79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101"/>
      <c r="AR150" s="139"/>
      <c r="AS150" s="1"/>
      <c r="AT150" s="83"/>
    </row>
    <row r="151" spans="1:324" x14ac:dyDescent="0.25">
      <c r="A151" s="8">
        <v>156</v>
      </c>
      <c r="B151" s="79"/>
      <c r="C151" s="80"/>
      <c r="D151" s="81"/>
      <c r="E151" s="81"/>
      <c r="F151" s="81"/>
      <c r="G151" s="81"/>
      <c r="H151" s="81"/>
      <c r="I151" s="79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101"/>
      <c r="AR151" s="1"/>
      <c r="AS151" s="1"/>
      <c r="AT151" s="83"/>
    </row>
    <row r="152" spans="1:324" x14ac:dyDescent="0.25">
      <c r="A152" s="1">
        <v>157</v>
      </c>
      <c r="B152" s="79"/>
      <c r="C152" s="80"/>
      <c r="D152" s="81"/>
      <c r="E152" s="81"/>
      <c r="F152" s="81"/>
      <c r="G152" s="81"/>
      <c r="H152" s="81"/>
      <c r="I152" s="79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101"/>
      <c r="AR152" s="1"/>
      <c r="AS152" s="1"/>
      <c r="AT152" s="83"/>
    </row>
    <row r="153" spans="1:324" x14ac:dyDescent="0.25">
      <c r="A153" s="8">
        <v>158</v>
      </c>
      <c r="B153" s="79"/>
      <c r="C153" s="80"/>
      <c r="D153" s="81"/>
      <c r="E153" s="81"/>
      <c r="F153" s="81"/>
      <c r="G153" s="81"/>
      <c r="H153" s="81"/>
      <c r="I153" s="79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101"/>
      <c r="AR153" s="1"/>
      <c r="AS153" s="1"/>
      <c r="AT153" s="83"/>
    </row>
    <row r="154" spans="1:324" x14ac:dyDescent="0.25">
      <c r="A154" s="8">
        <v>159</v>
      </c>
      <c r="B154" s="79"/>
      <c r="C154" s="80"/>
      <c r="D154" s="81"/>
      <c r="E154" s="81"/>
      <c r="F154" s="81"/>
      <c r="G154" s="81"/>
      <c r="H154" s="81"/>
      <c r="I154" s="79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101"/>
      <c r="AR154" s="1"/>
      <c r="AS154" s="1"/>
      <c r="AT154" s="83"/>
    </row>
    <row r="155" spans="1:324" x14ac:dyDescent="0.25">
      <c r="A155" s="1">
        <v>160</v>
      </c>
      <c r="B155" s="79"/>
      <c r="C155" s="80"/>
      <c r="D155" s="81"/>
      <c r="E155" s="81"/>
      <c r="F155" s="81"/>
      <c r="G155" s="81"/>
      <c r="H155" s="81"/>
      <c r="I155" s="79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101"/>
      <c r="AR155" s="1"/>
      <c r="AS155" s="1"/>
      <c r="AT155" s="83"/>
    </row>
    <row r="156" spans="1:324" x14ac:dyDescent="0.25">
      <c r="A156" s="8">
        <v>161</v>
      </c>
      <c r="B156" s="79"/>
      <c r="C156" s="80"/>
      <c r="D156" s="81"/>
      <c r="E156" s="81"/>
      <c r="F156" s="81"/>
      <c r="G156" s="81"/>
      <c r="H156" s="81"/>
      <c r="I156" s="79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101"/>
      <c r="AR156" s="1"/>
      <c r="AS156" s="1"/>
      <c r="AT156" s="83"/>
    </row>
    <row r="157" spans="1:324" x14ac:dyDescent="0.25">
      <c r="A157" s="8">
        <v>162</v>
      </c>
      <c r="B157" s="79"/>
      <c r="C157" s="80"/>
      <c r="D157" s="81"/>
      <c r="E157" s="81"/>
      <c r="F157" s="81"/>
      <c r="G157" s="81"/>
      <c r="H157" s="81"/>
      <c r="I157" s="79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101"/>
      <c r="AR157" s="1"/>
      <c r="AS157" s="1"/>
      <c r="AT157" s="83"/>
    </row>
    <row r="158" spans="1:324" x14ac:dyDescent="0.25">
      <c r="A158" s="1">
        <v>163</v>
      </c>
      <c r="B158" s="79"/>
      <c r="C158" s="80"/>
      <c r="D158" s="81"/>
      <c r="E158" s="81"/>
      <c r="F158" s="81"/>
      <c r="G158" s="81"/>
      <c r="H158" s="81"/>
      <c r="I158" s="79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101"/>
      <c r="AR158" s="1"/>
      <c r="AS158" s="1"/>
      <c r="AT158" s="83"/>
    </row>
    <row r="159" spans="1:324" x14ac:dyDescent="0.25">
      <c r="A159" s="8">
        <v>164</v>
      </c>
      <c r="B159" s="79"/>
      <c r="C159" s="80"/>
      <c r="D159" s="81"/>
      <c r="E159" s="81"/>
      <c r="F159" s="81"/>
      <c r="G159" s="81"/>
      <c r="H159" s="81"/>
      <c r="I159" s="79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101"/>
      <c r="AR159" s="1"/>
      <c r="AS159" s="1"/>
      <c r="AT159" s="83"/>
    </row>
    <row r="160" spans="1:324" x14ac:dyDescent="0.25">
      <c r="A160" s="8">
        <v>165</v>
      </c>
      <c r="B160" s="79"/>
      <c r="C160" s="80"/>
      <c r="D160" s="81"/>
      <c r="E160" s="81"/>
      <c r="F160" s="81"/>
      <c r="G160" s="81"/>
      <c r="H160" s="81"/>
      <c r="I160" s="79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101"/>
      <c r="AR160" s="1"/>
      <c r="AS160" s="1"/>
      <c r="AT160" s="83"/>
    </row>
    <row r="161" spans="1:46" x14ac:dyDescent="0.25">
      <c r="A161" s="1">
        <v>166</v>
      </c>
      <c r="B161" s="79"/>
      <c r="C161" s="80"/>
      <c r="D161" s="81"/>
      <c r="E161" s="81"/>
      <c r="F161" s="81"/>
      <c r="G161" s="81"/>
      <c r="H161" s="81"/>
      <c r="I161" s="79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101"/>
      <c r="AR161" s="1"/>
      <c r="AS161" s="1"/>
      <c r="AT161" s="83"/>
    </row>
    <row r="162" spans="1:46" x14ac:dyDescent="0.25">
      <c r="A162" s="8">
        <v>167</v>
      </c>
      <c r="B162" s="79"/>
      <c r="C162" s="80"/>
      <c r="D162" s="81"/>
      <c r="E162" s="81"/>
      <c r="F162" s="81"/>
      <c r="G162" s="81"/>
      <c r="H162" s="81"/>
      <c r="I162" s="79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101"/>
      <c r="AR162" s="1"/>
      <c r="AS162" s="1"/>
      <c r="AT162" s="83"/>
    </row>
    <row r="163" spans="1:46" x14ac:dyDescent="0.25">
      <c r="A163" s="8">
        <v>168</v>
      </c>
      <c r="B163" s="79"/>
      <c r="C163" s="80"/>
      <c r="D163" s="81"/>
      <c r="E163" s="81"/>
      <c r="F163" s="81"/>
      <c r="G163" s="81"/>
      <c r="H163" s="81"/>
      <c r="I163" s="79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101"/>
      <c r="AR163" s="1"/>
      <c r="AS163" s="1"/>
      <c r="AT163" s="83"/>
    </row>
    <row r="164" spans="1:46" x14ac:dyDescent="0.25">
      <c r="A164" s="1">
        <v>169</v>
      </c>
      <c r="B164" s="79"/>
      <c r="C164" s="80"/>
      <c r="D164" s="81"/>
      <c r="E164" s="81"/>
      <c r="F164" s="81"/>
      <c r="G164" s="81"/>
      <c r="H164" s="81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105"/>
      <c r="AR164" s="43"/>
      <c r="AS164" s="43"/>
      <c r="AT164" s="89"/>
    </row>
    <row r="165" spans="1:46" x14ac:dyDescent="0.25">
      <c r="A165" s="8">
        <v>170</v>
      </c>
      <c r="B165" s="79"/>
      <c r="C165" s="80"/>
      <c r="D165" s="81"/>
      <c r="E165" s="81"/>
      <c r="F165" s="81"/>
      <c r="G165" s="81"/>
      <c r="H165" s="81"/>
      <c r="I165" s="79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105"/>
      <c r="AR165" s="43"/>
      <c r="AS165" s="43"/>
      <c r="AT165" s="89"/>
    </row>
    <row r="166" spans="1:46" x14ac:dyDescent="0.25">
      <c r="A166" s="8">
        <v>171</v>
      </c>
      <c r="B166" s="79"/>
      <c r="C166" s="80"/>
      <c r="D166" s="81"/>
      <c r="E166" s="81"/>
      <c r="F166" s="81"/>
      <c r="G166" s="81"/>
      <c r="H166" s="81"/>
      <c r="I166" s="79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105"/>
      <c r="AR166" s="43"/>
      <c r="AS166" s="43"/>
      <c r="AT166" s="89"/>
    </row>
    <row r="167" spans="1:46" x14ac:dyDescent="0.25">
      <c r="A167" s="1">
        <v>172</v>
      </c>
      <c r="B167" s="79"/>
      <c r="C167" s="80"/>
      <c r="D167" s="81"/>
      <c r="E167" s="81"/>
      <c r="F167" s="81"/>
      <c r="G167" s="81"/>
      <c r="H167" s="81"/>
      <c r="I167" s="79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105"/>
      <c r="AR167" s="43"/>
      <c r="AS167" s="43"/>
      <c r="AT167" s="89"/>
    </row>
    <row r="168" spans="1:46" x14ac:dyDescent="0.25">
      <c r="A168" s="8">
        <v>173</v>
      </c>
      <c r="B168" s="79"/>
      <c r="C168" s="80"/>
      <c r="D168" s="81"/>
      <c r="E168" s="81"/>
      <c r="F168" s="81"/>
      <c r="G168" s="81"/>
      <c r="H168" s="81"/>
      <c r="I168" s="79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105"/>
      <c r="AR168" s="43"/>
      <c r="AS168" s="43"/>
      <c r="AT168" s="89"/>
    </row>
    <row r="169" spans="1:46" x14ac:dyDescent="0.25">
      <c r="A169" s="8">
        <v>174</v>
      </c>
      <c r="B169" s="79"/>
      <c r="C169" s="80"/>
      <c r="D169" s="81"/>
      <c r="E169" s="81"/>
      <c r="F169" s="81"/>
      <c r="G169" s="81"/>
      <c r="H169" s="81"/>
      <c r="I169" s="79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105"/>
      <c r="AR169" s="43"/>
      <c r="AS169" s="43"/>
      <c r="AT169" s="89"/>
    </row>
    <row r="170" spans="1:46" x14ac:dyDescent="0.25">
      <c r="A170" s="1">
        <v>175</v>
      </c>
      <c r="B170" s="79"/>
      <c r="C170" s="80"/>
      <c r="D170" s="81"/>
      <c r="E170" s="81"/>
      <c r="F170" s="81"/>
      <c r="G170" s="81"/>
      <c r="H170" s="81"/>
      <c r="I170" s="79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105"/>
      <c r="AR170" s="43"/>
      <c r="AS170" s="43"/>
      <c r="AT170" s="89"/>
    </row>
    <row r="171" spans="1:46" x14ac:dyDescent="0.25">
      <c r="A171" s="8">
        <v>176</v>
      </c>
      <c r="B171" s="79"/>
      <c r="C171" s="80"/>
      <c r="D171" s="81"/>
      <c r="E171" s="81"/>
      <c r="F171" s="81"/>
      <c r="G171" s="81"/>
      <c r="H171" s="81"/>
      <c r="I171" s="79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105"/>
      <c r="AR171" s="43"/>
      <c r="AS171" s="43"/>
      <c r="AT171" s="89"/>
    </row>
    <row r="172" spans="1:46" x14ac:dyDescent="0.25">
      <c r="A172" s="8">
        <v>177</v>
      </c>
      <c r="B172" s="79"/>
      <c r="C172" s="80"/>
      <c r="D172" s="81"/>
      <c r="E172" s="81"/>
      <c r="F172" s="81"/>
      <c r="G172" s="81"/>
      <c r="H172" s="81"/>
      <c r="I172" s="79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105"/>
      <c r="AR172" s="43"/>
      <c r="AS172" s="43"/>
      <c r="AT172" s="89"/>
    </row>
    <row r="173" spans="1:46" x14ac:dyDescent="0.25">
      <c r="A173" s="1">
        <v>178</v>
      </c>
      <c r="B173" s="79"/>
      <c r="C173" s="80"/>
      <c r="D173" s="81"/>
      <c r="E173" s="81"/>
      <c r="F173" s="81"/>
      <c r="G173" s="81"/>
      <c r="H173" s="81"/>
      <c r="I173" s="79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105"/>
      <c r="AR173" s="43"/>
      <c r="AS173" s="43"/>
      <c r="AT173" s="89"/>
    </row>
    <row r="174" spans="1:46" x14ac:dyDescent="0.25">
      <c r="A174" s="8">
        <v>179</v>
      </c>
      <c r="B174" s="79"/>
      <c r="C174" s="80"/>
      <c r="D174" s="81"/>
      <c r="E174" s="81"/>
      <c r="F174" s="81"/>
      <c r="G174" s="81"/>
      <c r="H174" s="81"/>
      <c r="I174" s="79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105"/>
      <c r="AR174" s="43"/>
      <c r="AS174" s="43"/>
      <c r="AT174" s="89"/>
    </row>
    <row r="175" spans="1:46" x14ac:dyDescent="0.25">
      <c r="A175" s="8">
        <v>180</v>
      </c>
      <c r="B175" s="79"/>
      <c r="C175" s="80"/>
      <c r="D175" s="81"/>
      <c r="E175" s="81"/>
      <c r="F175" s="81"/>
      <c r="G175" s="81"/>
      <c r="H175" s="81"/>
      <c r="I175" s="79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105"/>
      <c r="AR175" s="43"/>
      <c r="AS175" s="43"/>
      <c r="AT175" s="89"/>
    </row>
    <row r="176" spans="1:46" x14ac:dyDescent="0.25">
      <c r="A176" s="1">
        <v>181</v>
      </c>
      <c r="B176" s="79"/>
      <c r="C176" s="80"/>
      <c r="D176" s="81"/>
      <c r="E176" s="81"/>
      <c r="F176" s="81"/>
      <c r="G176" s="81"/>
      <c r="H176" s="81"/>
      <c r="I176" s="79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105"/>
      <c r="AR176" s="43"/>
      <c r="AS176" s="43"/>
      <c r="AT176" s="89"/>
    </row>
    <row r="177" spans="1:46" x14ac:dyDescent="0.25">
      <c r="A177" s="8">
        <v>182</v>
      </c>
      <c r="B177" s="79"/>
      <c r="C177" s="80"/>
      <c r="D177" s="81"/>
      <c r="E177" s="81"/>
      <c r="F177" s="81"/>
      <c r="G177" s="81"/>
      <c r="H177" s="81"/>
      <c r="I177" s="79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105"/>
      <c r="AR177" s="43"/>
      <c r="AS177" s="43"/>
      <c r="AT177" s="89"/>
    </row>
    <row r="178" spans="1:46" x14ac:dyDescent="0.25">
      <c r="A178" s="8">
        <v>183</v>
      </c>
      <c r="B178" s="79"/>
      <c r="C178" s="80"/>
      <c r="D178" s="81"/>
      <c r="E178" s="81"/>
      <c r="F178" s="81"/>
      <c r="G178" s="81"/>
      <c r="H178" s="81"/>
      <c r="I178" s="79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105"/>
      <c r="AR178" s="43"/>
      <c r="AS178" s="43"/>
      <c r="AT178" s="89"/>
    </row>
    <row r="179" spans="1:46" x14ac:dyDescent="0.25">
      <c r="A179" s="1">
        <v>184</v>
      </c>
      <c r="B179" s="79"/>
      <c r="C179" s="80"/>
      <c r="D179" s="81"/>
      <c r="E179" s="81"/>
      <c r="F179" s="81"/>
      <c r="G179" s="81"/>
      <c r="H179" s="81"/>
      <c r="I179" s="79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105"/>
      <c r="AR179" s="43"/>
      <c r="AS179" s="43"/>
      <c r="AT179" s="89"/>
    </row>
    <row r="180" spans="1:46" x14ac:dyDescent="0.25">
      <c r="A180" s="8">
        <v>185</v>
      </c>
      <c r="B180" s="79"/>
      <c r="C180" s="80"/>
      <c r="D180" s="81"/>
      <c r="E180" s="81"/>
      <c r="F180" s="81"/>
      <c r="G180" s="81"/>
      <c r="H180" s="81"/>
      <c r="I180" s="79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105"/>
      <c r="AR180" s="43"/>
      <c r="AS180" s="43"/>
      <c r="AT180" s="89"/>
    </row>
    <row r="181" spans="1:46" x14ac:dyDescent="0.25">
      <c r="A181" s="8">
        <v>186</v>
      </c>
      <c r="B181" s="79"/>
      <c r="C181" s="80"/>
      <c r="D181" s="81"/>
      <c r="E181" s="81"/>
      <c r="F181" s="81"/>
      <c r="G181" s="81"/>
      <c r="H181" s="81"/>
      <c r="I181" s="79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105"/>
      <c r="AR181" s="43"/>
      <c r="AS181" s="43"/>
      <c r="AT181" s="89"/>
    </row>
    <row r="182" spans="1:46" x14ac:dyDescent="0.25">
      <c r="A182" s="1">
        <v>187</v>
      </c>
      <c r="B182" s="79"/>
      <c r="C182" s="80"/>
      <c r="D182" s="81"/>
      <c r="E182" s="81"/>
      <c r="F182" s="81"/>
      <c r="G182" s="81"/>
      <c r="H182" s="81"/>
      <c r="I182" s="79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105"/>
      <c r="AR182" s="43"/>
      <c r="AS182" s="43"/>
      <c r="AT182" s="89"/>
    </row>
    <row r="183" spans="1:46" x14ac:dyDescent="0.25">
      <c r="A183" s="8">
        <v>188</v>
      </c>
      <c r="B183" s="79"/>
      <c r="C183" s="80"/>
      <c r="D183" s="81"/>
      <c r="E183" s="81"/>
      <c r="F183" s="81"/>
      <c r="G183" s="81"/>
      <c r="H183" s="81"/>
      <c r="I183" s="79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105"/>
      <c r="AR183" s="43"/>
      <c r="AS183" s="43"/>
      <c r="AT183" s="89"/>
    </row>
    <row r="184" spans="1:46" x14ac:dyDescent="0.25">
      <c r="A184" s="8">
        <v>189</v>
      </c>
      <c r="B184" s="79"/>
      <c r="C184" s="80"/>
      <c r="D184" s="81"/>
      <c r="E184" s="81"/>
      <c r="F184" s="81"/>
      <c r="G184" s="81"/>
      <c r="H184" s="81"/>
      <c r="I184" s="79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105"/>
      <c r="AR184" s="43"/>
      <c r="AS184" s="43"/>
      <c r="AT184" s="89"/>
    </row>
    <row r="185" spans="1:46" x14ac:dyDescent="0.25">
      <c r="A185" s="1">
        <v>190</v>
      </c>
      <c r="B185" s="79"/>
      <c r="C185" s="80"/>
      <c r="D185" s="81"/>
      <c r="E185" s="81"/>
      <c r="F185" s="81"/>
      <c r="G185" s="81"/>
      <c r="H185" s="81"/>
      <c r="I185" s="79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105"/>
      <c r="AR185" s="43"/>
      <c r="AS185" s="43"/>
      <c r="AT185" s="89"/>
    </row>
    <row r="186" spans="1:46" x14ac:dyDescent="0.25">
      <c r="A186" s="8">
        <v>191</v>
      </c>
      <c r="B186" s="79"/>
      <c r="C186" s="80"/>
      <c r="D186" s="81"/>
      <c r="E186" s="81"/>
      <c r="F186" s="81"/>
      <c r="G186" s="81"/>
      <c r="H186" s="81"/>
      <c r="I186" s="79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105"/>
      <c r="AR186" s="43"/>
      <c r="AS186" s="43"/>
      <c r="AT186" s="89"/>
    </row>
    <row r="187" spans="1:46" x14ac:dyDescent="0.25">
      <c r="A187" s="8">
        <v>192</v>
      </c>
      <c r="B187" s="79"/>
      <c r="C187" s="80"/>
      <c r="D187" s="81"/>
      <c r="E187" s="81"/>
      <c r="F187" s="81"/>
      <c r="G187" s="81"/>
      <c r="H187" s="81"/>
      <c r="I187" s="79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105"/>
      <c r="AR187" s="43"/>
      <c r="AS187" s="43"/>
      <c r="AT187" s="89"/>
    </row>
    <row r="188" spans="1:46" x14ac:dyDescent="0.25">
      <c r="A188" s="1">
        <v>193</v>
      </c>
      <c r="B188" s="79"/>
      <c r="C188" s="80"/>
      <c r="D188" s="81"/>
      <c r="E188" s="81"/>
      <c r="F188" s="81"/>
      <c r="G188" s="81"/>
      <c r="H188" s="81"/>
      <c r="I188" s="79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105"/>
      <c r="AR188" s="43"/>
      <c r="AS188" s="43"/>
      <c r="AT188" s="89"/>
    </row>
    <row r="189" spans="1:46" x14ac:dyDescent="0.25">
      <c r="A189" s="8">
        <v>194</v>
      </c>
      <c r="B189" s="79"/>
      <c r="C189" s="80"/>
      <c r="D189" s="81"/>
      <c r="E189" s="81"/>
      <c r="F189" s="81"/>
      <c r="G189" s="81"/>
      <c r="H189" s="81"/>
      <c r="I189" s="79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105"/>
      <c r="AR189" s="43"/>
      <c r="AS189" s="43"/>
      <c r="AT189" s="89"/>
    </row>
    <row r="190" spans="1:46" x14ac:dyDescent="0.25">
      <c r="A190" s="8">
        <v>195</v>
      </c>
      <c r="B190" s="79"/>
      <c r="C190" s="80"/>
      <c r="D190" s="81"/>
      <c r="E190" s="81"/>
      <c r="F190" s="81"/>
      <c r="G190" s="81"/>
      <c r="H190" s="81"/>
      <c r="I190" s="79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105"/>
      <c r="AR190" s="43"/>
      <c r="AS190" s="43"/>
      <c r="AT190" s="89"/>
    </row>
    <row r="191" spans="1:46" x14ac:dyDescent="0.25">
      <c r="A191" s="1">
        <v>196</v>
      </c>
      <c r="B191" s="79"/>
      <c r="C191" s="80"/>
      <c r="D191" s="81"/>
      <c r="E191" s="81"/>
      <c r="F191" s="81"/>
      <c r="G191" s="81"/>
      <c r="H191" s="81"/>
      <c r="I191" s="79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105"/>
      <c r="AR191" s="43"/>
      <c r="AS191" s="43"/>
      <c r="AT191" s="89"/>
    </row>
    <row r="192" spans="1:46" x14ac:dyDescent="0.25">
      <c r="A192" s="8">
        <v>197</v>
      </c>
      <c r="B192" s="79"/>
      <c r="C192" s="80"/>
      <c r="D192" s="81"/>
      <c r="E192" s="81"/>
      <c r="F192" s="81"/>
      <c r="G192" s="81"/>
      <c r="H192" s="81"/>
      <c r="I192" s="79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105"/>
      <c r="AR192" s="43"/>
      <c r="AS192" s="43"/>
      <c r="AT192" s="89"/>
    </row>
    <row r="193" spans="1:46" x14ac:dyDescent="0.25">
      <c r="A193" s="8">
        <v>198</v>
      </c>
      <c r="B193" s="79"/>
      <c r="C193" s="80"/>
      <c r="D193" s="81"/>
      <c r="E193" s="81"/>
      <c r="F193" s="81"/>
      <c r="G193" s="81"/>
      <c r="H193" s="81"/>
      <c r="I193" s="79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105"/>
      <c r="AR193" s="43"/>
      <c r="AS193" s="43"/>
      <c r="AT193" s="89"/>
    </row>
    <row r="194" spans="1:46" x14ac:dyDescent="0.25">
      <c r="A194" s="1">
        <v>199</v>
      </c>
      <c r="B194" s="79"/>
      <c r="C194" s="80"/>
      <c r="D194" s="81"/>
      <c r="E194" s="81"/>
      <c r="F194" s="81"/>
      <c r="G194" s="81"/>
      <c r="H194" s="81"/>
      <c r="I194" s="79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105"/>
      <c r="AR194" s="43"/>
      <c r="AS194" s="43"/>
      <c r="AT194" s="89"/>
    </row>
    <row r="195" spans="1:46" x14ac:dyDescent="0.25">
      <c r="A195" s="8">
        <v>200</v>
      </c>
      <c r="B195" s="79"/>
      <c r="C195" s="80"/>
      <c r="D195" s="81"/>
      <c r="E195" s="81"/>
      <c r="F195" s="81"/>
      <c r="G195" s="81"/>
      <c r="H195" s="81"/>
      <c r="I195" s="79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105"/>
      <c r="AR195" s="43"/>
      <c r="AS195" s="43"/>
      <c r="AT195" s="89"/>
    </row>
    <row r="196" spans="1:46" x14ac:dyDescent="0.25">
      <c r="A196" s="8">
        <v>201</v>
      </c>
      <c r="B196" s="79"/>
      <c r="C196" s="80"/>
      <c r="D196" s="81"/>
      <c r="E196" s="81"/>
      <c r="F196" s="81"/>
      <c r="G196" s="81"/>
      <c r="H196" s="81"/>
      <c r="I196" s="79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105"/>
      <c r="AR196" s="43"/>
      <c r="AS196" s="43"/>
      <c r="AT196" s="89"/>
    </row>
    <row r="197" spans="1:46" x14ac:dyDescent="0.25">
      <c r="A197" s="1">
        <v>202</v>
      </c>
      <c r="B197" s="79"/>
      <c r="C197" s="80"/>
      <c r="D197" s="81"/>
      <c r="E197" s="81"/>
      <c r="F197" s="81"/>
      <c r="G197" s="81"/>
      <c r="H197" s="81"/>
      <c r="I197" s="79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105"/>
      <c r="AR197" s="43"/>
      <c r="AS197" s="43"/>
      <c r="AT197" s="89"/>
    </row>
    <row r="198" spans="1:46" x14ac:dyDescent="0.25">
      <c r="A198" s="8">
        <v>203</v>
      </c>
      <c r="B198" s="79"/>
      <c r="C198" s="80"/>
      <c r="D198" s="81"/>
      <c r="E198" s="81"/>
      <c r="F198" s="81"/>
      <c r="G198" s="81"/>
      <c r="H198" s="81"/>
      <c r="I198" s="79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105"/>
      <c r="AR198" s="43"/>
      <c r="AS198" s="43"/>
      <c r="AT198" s="89"/>
    </row>
    <row r="199" spans="1:46" x14ac:dyDescent="0.25">
      <c r="A199" s="8">
        <v>204</v>
      </c>
      <c r="B199" s="79"/>
      <c r="C199" s="80"/>
      <c r="D199" s="81"/>
      <c r="E199" s="81"/>
      <c r="F199" s="81"/>
      <c r="G199" s="81"/>
      <c r="H199" s="81"/>
      <c r="I199" s="79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105"/>
      <c r="AR199" s="43"/>
      <c r="AS199" s="43"/>
      <c r="AT199" s="89"/>
    </row>
    <row r="200" spans="1:46" x14ac:dyDescent="0.25">
      <c r="A200" s="1">
        <v>205</v>
      </c>
      <c r="B200" s="79"/>
      <c r="C200" s="80"/>
      <c r="D200" s="81"/>
      <c r="E200" s="81"/>
      <c r="F200" s="81"/>
      <c r="G200" s="81"/>
      <c r="H200" s="81"/>
      <c r="I200" s="79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105"/>
      <c r="AR200" s="43"/>
      <c r="AS200" s="43"/>
      <c r="AT200" s="89"/>
    </row>
    <row r="201" spans="1:46" x14ac:dyDescent="0.25">
      <c r="A201" s="8">
        <v>206</v>
      </c>
      <c r="B201" s="79"/>
      <c r="C201" s="80"/>
      <c r="D201" s="81"/>
      <c r="E201" s="81"/>
      <c r="F201" s="81"/>
      <c r="G201" s="81"/>
      <c r="H201" s="81"/>
      <c r="I201" s="79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105"/>
      <c r="AR201" s="43"/>
      <c r="AS201" s="43"/>
      <c r="AT201" s="89"/>
    </row>
    <row r="202" spans="1:46" x14ac:dyDescent="0.25">
      <c r="A202" s="1">
        <v>206</v>
      </c>
      <c r="B202" s="79"/>
      <c r="C202" s="80"/>
      <c r="D202" s="81"/>
      <c r="E202" s="81"/>
      <c r="F202" s="81"/>
      <c r="G202" s="81"/>
      <c r="H202" s="81"/>
      <c r="I202" s="79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105"/>
      <c r="AR202" s="43"/>
      <c r="AS202" s="43"/>
      <c r="AT202" s="89"/>
    </row>
    <row r="203" spans="1:46" x14ac:dyDescent="0.25">
      <c r="A203" s="1">
        <v>207</v>
      </c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81"/>
      <c r="AO203" s="43"/>
      <c r="AP203" s="43"/>
      <c r="AQ203" s="43"/>
      <c r="AR203" s="43"/>
      <c r="AS203" s="43"/>
      <c r="AT203" s="89"/>
    </row>
    <row r="204" spans="1:46" x14ac:dyDescent="0.25">
      <c r="A204" s="8"/>
      <c r="B204" s="79"/>
      <c r="C204" s="80"/>
      <c r="D204" s="81"/>
      <c r="E204" s="81"/>
      <c r="F204" s="81"/>
      <c r="G204" s="81"/>
      <c r="H204" s="81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101"/>
      <c r="AR204" s="1"/>
      <c r="AS204" s="1"/>
      <c r="AT204" s="83"/>
    </row>
    <row r="205" spans="1:46" x14ac:dyDescent="0.25">
      <c r="A205" s="1"/>
      <c r="B205" s="79"/>
      <c r="C205" s="80"/>
      <c r="D205" s="81"/>
      <c r="E205" s="81"/>
      <c r="F205" s="81"/>
      <c r="G205" s="81"/>
      <c r="H205" s="81"/>
      <c r="I205" s="79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101"/>
      <c r="AR205" s="1"/>
      <c r="AS205" s="1"/>
      <c r="AT205" s="83"/>
    </row>
    <row r="206" spans="1:46" x14ac:dyDescent="0.25">
      <c r="A206" s="8"/>
      <c r="B206" s="79"/>
      <c r="C206" s="80"/>
      <c r="D206" s="81"/>
      <c r="E206" s="81"/>
      <c r="F206" s="81"/>
      <c r="G206" s="81"/>
      <c r="H206" s="81"/>
      <c r="I206" s="79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101"/>
      <c r="AR206" s="1"/>
      <c r="AS206" s="1"/>
      <c r="AT206" s="83"/>
    </row>
    <row r="207" spans="1:46" x14ac:dyDescent="0.25">
      <c r="A207" s="8"/>
      <c r="B207" s="79"/>
      <c r="C207" s="80"/>
      <c r="D207" s="81"/>
      <c r="E207" s="81"/>
      <c r="F207" s="81"/>
      <c r="G207" s="81"/>
      <c r="H207" s="81"/>
      <c r="I207" s="79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101"/>
      <c r="AR207" s="1"/>
      <c r="AS207" s="1"/>
      <c r="AT207" s="83"/>
    </row>
    <row r="208" spans="1:46" x14ac:dyDescent="0.25">
      <c r="A208" s="8"/>
      <c r="B208" s="79"/>
      <c r="C208" s="80"/>
      <c r="D208" s="81"/>
      <c r="E208" s="81"/>
      <c r="F208" s="81"/>
      <c r="G208" s="81"/>
      <c r="H208" s="81"/>
      <c r="I208" s="79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101"/>
      <c r="AR208" s="68"/>
      <c r="AS208" s="1"/>
      <c r="AT208" s="83"/>
    </row>
    <row r="209" spans="1:46" x14ac:dyDescent="0.25">
      <c r="A209" s="1"/>
      <c r="B209" s="136"/>
      <c r="C209" s="146"/>
      <c r="D209" s="147"/>
      <c r="E209" s="147"/>
      <c r="F209" s="147"/>
      <c r="G209" s="147"/>
      <c r="H209" s="147"/>
      <c r="I209" s="136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34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8"/>
      <c r="AR209" s="134"/>
      <c r="AS209" s="134"/>
      <c r="AT209" s="134"/>
    </row>
  </sheetData>
  <autoFilter ref="A2:AU203" xr:uid="{00000000-0009-0000-0000-000000000000}">
    <sortState xmlns:xlrd2="http://schemas.microsoft.com/office/spreadsheetml/2017/richdata2" ref="A5:AU203">
      <sortCondition ref="A2:A203"/>
    </sortState>
  </autoFilter>
  <mergeCells count="39">
    <mergeCell ref="AQ2:AQ3"/>
    <mergeCell ref="AU2:AU3"/>
    <mergeCell ref="AT2:AT3"/>
    <mergeCell ref="AP2:AP3"/>
    <mergeCell ref="V2:V3"/>
    <mergeCell ref="Y2:Y3"/>
    <mergeCell ref="Z2:Z3"/>
    <mergeCell ref="AA2:AA3"/>
    <mergeCell ref="AS2:AS3"/>
    <mergeCell ref="AK2:AK3"/>
    <mergeCell ref="AL2:AL3"/>
    <mergeCell ref="AM2:AM3"/>
    <mergeCell ref="AN2:AN3"/>
    <mergeCell ref="AO2:AO3"/>
    <mergeCell ref="AR2:AR3"/>
    <mergeCell ref="AB2:AB3"/>
    <mergeCell ref="AC2:AC3"/>
    <mergeCell ref="AD2:AD3"/>
    <mergeCell ref="AE2:AE3"/>
    <mergeCell ref="AF2:AF3"/>
    <mergeCell ref="A2:A3"/>
    <mergeCell ref="B2:B3"/>
    <mergeCell ref="C2:C3"/>
    <mergeCell ref="D2:D3"/>
    <mergeCell ref="E2:E3"/>
    <mergeCell ref="F2:F3"/>
    <mergeCell ref="G2:G3"/>
    <mergeCell ref="H2:H3"/>
    <mergeCell ref="U2:U3"/>
    <mergeCell ref="I2:I3"/>
    <mergeCell ref="J2:J3"/>
    <mergeCell ref="M2:M3"/>
    <mergeCell ref="N2:N3"/>
    <mergeCell ref="T2:T3"/>
    <mergeCell ref="O2:O3"/>
    <mergeCell ref="P2:P3"/>
    <mergeCell ref="Q2:Q3"/>
    <mergeCell ref="R2:R3"/>
    <mergeCell ref="S2:S3"/>
  </mergeCells>
  <dataValidations disablePrompts="1" count="1">
    <dataValidation type="list" allowBlank="1" showInputMessage="1" showErrorMessage="1" sqref="AI3" xr:uid="{00000000-0002-0000-0000-000000000000}">
      <formula1>#REF!</formula1>
    </dataValidation>
  </dataValidations>
  <pageMargins left="0.25" right="0.25" top="0.75" bottom="0.75" header="0.3" footer="0.3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0"/>
  <sheetViews>
    <sheetView zoomScale="80" zoomScaleNormal="80" workbookViewId="0">
      <selection activeCell="E53" sqref="E53"/>
    </sheetView>
  </sheetViews>
  <sheetFormatPr baseColWidth="10" defaultRowHeight="15" x14ac:dyDescent="0.25"/>
  <cols>
    <col min="1" max="1" width="6" style="82" customWidth="1"/>
    <col min="2" max="2" width="45.42578125" customWidth="1"/>
    <col min="3" max="3" width="19" style="106" customWidth="1"/>
    <col min="4" max="4" width="8.7109375" customWidth="1"/>
    <col min="5" max="5" width="15" customWidth="1"/>
    <col min="6" max="6" width="29.140625" customWidth="1"/>
    <col min="7" max="7" width="21.42578125" bestFit="1" customWidth="1"/>
    <col min="8" max="8" width="12.28515625" style="82" bestFit="1" customWidth="1"/>
    <col min="9" max="9" width="13.140625" customWidth="1"/>
    <col min="10" max="10" width="27.85546875" customWidth="1"/>
    <col min="11" max="11" width="27.28515625" customWidth="1"/>
  </cols>
  <sheetData>
    <row r="1" spans="1:11" x14ac:dyDescent="0.25">
      <c r="A1" s="170" t="s">
        <v>99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45" customHeight="1" x14ac:dyDescent="0.25">
      <c r="A2" s="81" t="s">
        <v>0</v>
      </c>
      <c r="B2" s="72" t="s">
        <v>4</v>
      </c>
      <c r="C2" s="72" t="s">
        <v>5</v>
      </c>
      <c r="D2" s="73" t="s">
        <v>100</v>
      </c>
      <c r="E2" s="73" t="s">
        <v>101</v>
      </c>
      <c r="F2" s="74" t="s">
        <v>102</v>
      </c>
      <c r="G2" s="74" t="s">
        <v>103</v>
      </c>
      <c r="H2" s="73" t="s">
        <v>104</v>
      </c>
      <c r="I2" s="73" t="s">
        <v>105</v>
      </c>
      <c r="J2" s="73" t="s">
        <v>106</v>
      </c>
      <c r="K2" s="73" t="s">
        <v>107</v>
      </c>
    </row>
    <row r="3" spans="1:11" x14ac:dyDescent="0.25">
      <c r="A3" s="81">
        <f>'2025'!A4</f>
        <v>1</v>
      </c>
      <c r="B3" s="75">
        <f>'2025'!E4</f>
        <v>0</v>
      </c>
      <c r="C3" s="1">
        <f>'2025'!F4</f>
        <v>0</v>
      </c>
      <c r="D3" s="43" t="s">
        <v>115</v>
      </c>
      <c r="E3" s="1" t="str">
        <f>'2025'!G4</f>
        <v>CHILLAN VIEJO</v>
      </c>
      <c r="F3" s="67">
        <f>'2025'!I4</f>
        <v>0</v>
      </c>
      <c r="G3" s="67">
        <f>'2025'!B4</f>
        <v>45901</v>
      </c>
      <c r="H3" s="81" t="str">
        <f>'2025'!M4</f>
        <v>FEMENINO</v>
      </c>
      <c r="I3" s="1">
        <f>'2025'!N4</f>
        <v>3450</v>
      </c>
      <c r="J3" s="43"/>
      <c r="K3" s="43"/>
    </row>
    <row r="4" spans="1:11" x14ac:dyDescent="0.25">
      <c r="A4" s="81">
        <f>'2025'!A5</f>
        <v>2</v>
      </c>
      <c r="B4" s="75">
        <f>'2025'!E5</f>
        <v>0</v>
      </c>
      <c r="C4" s="1">
        <f>'2025'!F5</f>
        <v>0</v>
      </c>
      <c r="D4" s="43" t="s">
        <v>140</v>
      </c>
      <c r="E4" s="1" t="str">
        <f>'2025'!G5</f>
        <v xml:space="preserve">CHILLAN </v>
      </c>
      <c r="F4" s="67">
        <f>'2025'!I5</f>
        <v>0</v>
      </c>
      <c r="G4" s="67">
        <f>'2025'!B5</f>
        <v>45901</v>
      </c>
      <c r="H4" s="81" t="str">
        <f>'2025'!M5</f>
        <v>FEMENINO</v>
      </c>
      <c r="I4" s="1">
        <f>'2025'!N5</f>
        <v>3350</v>
      </c>
      <c r="J4" s="43"/>
      <c r="K4" s="43"/>
    </row>
    <row r="5" spans="1:11" x14ac:dyDescent="0.25">
      <c r="A5" s="81">
        <f>'2025'!A6</f>
        <v>3</v>
      </c>
      <c r="B5" s="75">
        <f>'2025'!E6</f>
        <v>0</v>
      </c>
      <c r="C5" s="1">
        <f>'2025'!F6</f>
        <v>0</v>
      </c>
      <c r="D5" s="43" t="s">
        <v>140</v>
      </c>
      <c r="E5" s="1" t="str">
        <f>'2025'!G6</f>
        <v>CHILLAN</v>
      </c>
      <c r="F5" s="67">
        <f>'2025'!I6</f>
        <v>0</v>
      </c>
      <c r="G5" s="67">
        <f>'2025'!B6</f>
        <v>45901</v>
      </c>
      <c r="H5" s="81" t="str">
        <f>'2025'!M6</f>
        <v>MASCULINO</v>
      </c>
      <c r="I5" s="1">
        <f>'2025'!N6</f>
        <v>3270</v>
      </c>
      <c r="J5" s="43"/>
      <c r="K5" s="43"/>
    </row>
    <row r="6" spans="1:11" x14ac:dyDescent="0.25">
      <c r="A6" s="81">
        <f>'2025'!A7</f>
        <v>4</v>
      </c>
      <c r="B6" s="75">
        <f>'2025'!E7</f>
        <v>0</v>
      </c>
      <c r="C6" s="1">
        <f>'2025'!F7</f>
        <v>0</v>
      </c>
      <c r="D6" s="43" t="s">
        <v>115</v>
      </c>
      <c r="E6" s="1" t="str">
        <f>'2025'!G7</f>
        <v>CHILLAN</v>
      </c>
      <c r="F6" s="67">
        <f>'2025'!I7</f>
        <v>0</v>
      </c>
      <c r="G6" s="67">
        <f>'2025'!B7</f>
        <v>45901</v>
      </c>
      <c r="H6" s="81" t="str">
        <f>'2025'!M7</f>
        <v>MASCULINO</v>
      </c>
      <c r="I6" s="1">
        <f>'2025'!N7</f>
        <v>2470</v>
      </c>
      <c r="J6" s="43"/>
      <c r="K6" s="43"/>
    </row>
    <row r="7" spans="1:11" x14ac:dyDescent="0.25">
      <c r="A7" s="81">
        <f>'2025'!A8</f>
        <v>5</v>
      </c>
      <c r="B7" s="75">
        <f>'2025'!E8</f>
        <v>0</v>
      </c>
      <c r="C7" s="1">
        <f>'2025'!F8</f>
        <v>0</v>
      </c>
      <c r="D7" s="43" t="s">
        <v>115</v>
      </c>
      <c r="E7" s="1" t="str">
        <f>'2025'!G8</f>
        <v>PORTEZUELO</v>
      </c>
      <c r="F7" s="67">
        <f>'2025'!I8</f>
        <v>0</v>
      </c>
      <c r="G7" s="67">
        <f>'2025'!B8</f>
        <v>45902</v>
      </c>
      <c r="H7" s="81" t="str">
        <f>'2025'!M8</f>
        <v>FEMENINO</v>
      </c>
      <c r="I7" s="1">
        <f>'2025'!N8</f>
        <v>4030</v>
      </c>
      <c r="J7" s="43"/>
      <c r="K7" s="43"/>
    </row>
    <row r="8" spans="1:11" x14ac:dyDescent="0.25">
      <c r="A8" s="81">
        <f>'2025'!A9</f>
        <v>6</v>
      </c>
      <c r="B8" s="75">
        <f>'2025'!E9</f>
        <v>0</v>
      </c>
      <c r="C8" s="1">
        <f>'2025'!F9</f>
        <v>0</v>
      </c>
      <c r="D8" s="43" t="s">
        <v>115</v>
      </c>
      <c r="E8" s="1" t="str">
        <f>'2025'!G9</f>
        <v>SAN IGNACIO</v>
      </c>
      <c r="F8" s="67">
        <f>'2025'!I9</f>
        <v>0</v>
      </c>
      <c r="G8" s="67">
        <f>'2025'!B9</f>
        <v>45902</v>
      </c>
      <c r="H8" s="81" t="str">
        <f>'2025'!M9</f>
        <v>FEMENINO</v>
      </c>
      <c r="I8" s="1">
        <f>'2025'!N9</f>
        <v>3660</v>
      </c>
      <c r="J8" s="43"/>
      <c r="K8" s="43"/>
    </row>
    <row r="9" spans="1:11" x14ac:dyDescent="0.25">
      <c r="A9" s="81">
        <f>'2025'!A10</f>
        <v>7</v>
      </c>
      <c r="B9" s="75">
        <f>'2025'!E10</f>
        <v>0</v>
      </c>
      <c r="C9" s="1">
        <f>'2025'!F10</f>
        <v>0</v>
      </c>
      <c r="D9" s="43" t="s">
        <v>115</v>
      </c>
      <c r="E9" s="1" t="str">
        <f>'2025'!G10</f>
        <v>CHILLAN</v>
      </c>
      <c r="F9" s="67">
        <f>'2025'!I10</f>
        <v>0</v>
      </c>
      <c r="G9" s="67">
        <f>'2025'!B10</f>
        <v>45902</v>
      </c>
      <c r="H9" s="81" t="str">
        <f>'2025'!M10</f>
        <v>MASCULINO</v>
      </c>
      <c r="I9" s="1">
        <f>'2025'!N10</f>
        <v>2410</v>
      </c>
      <c r="J9" s="43"/>
      <c r="K9" s="43"/>
    </row>
    <row r="10" spans="1:11" x14ac:dyDescent="0.25">
      <c r="A10" s="81">
        <f>'2025'!A11</f>
        <v>8</v>
      </c>
      <c r="B10" s="75">
        <f>'2025'!E11</f>
        <v>0</v>
      </c>
      <c r="C10" s="1">
        <f>'2025'!F11</f>
        <v>0</v>
      </c>
      <c r="D10" s="43" t="s">
        <v>115</v>
      </c>
      <c r="E10" s="1" t="str">
        <f>'2025'!G11</f>
        <v>CHILLAN</v>
      </c>
      <c r="F10" s="67">
        <f>'2025'!I11</f>
        <v>0</v>
      </c>
      <c r="G10" s="67">
        <f>'2025'!B11</f>
        <v>45903</v>
      </c>
      <c r="H10" s="81" t="str">
        <f>'2025'!M11</f>
        <v>MASCULINO</v>
      </c>
      <c r="I10" s="1">
        <f>'2025'!N11</f>
        <v>3875</v>
      </c>
      <c r="J10" s="43"/>
      <c r="K10" s="43"/>
    </row>
    <row r="11" spans="1:11" x14ac:dyDescent="0.25">
      <c r="A11" s="81">
        <f>'2025'!A12</f>
        <v>9</v>
      </c>
      <c r="B11" s="75">
        <f>'2025'!E12</f>
        <v>0</v>
      </c>
      <c r="C11" s="1">
        <f>'2025'!F12</f>
        <v>0</v>
      </c>
      <c r="D11" s="43" t="s">
        <v>115</v>
      </c>
      <c r="E11" s="1" t="str">
        <f>'2025'!G12</f>
        <v>BULNES</v>
      </c>
      <c r="F11" s="67">
        <f>'2025'!I12</f>
        <v>0</v>
      </c>
      <c r="G11" s="67">
        <f>'2025'!B12</f>
        <v>45903</v>
      </c>
      <c r="H11" s="81" t="str">
        <f>'2025'!M12</f>
        <v>FEMENINO</v>
      </c>
      <c r="I11" s="1">
        <f>'2025'!N12</f>
        <v>3820</v>
      </c>
      <c r="J11" s="43"/>
      <c r="K11" s="43"/>
    </row>
    <row r="12" spans="1:11" x14ac:dyDescent="0.25">
      <c r="A12" s="81">
        <f>'2025'!A13</f>
        <v>10</v>
      </c>
      <c r="B12" s="75">
        <f>'2025'!E13</f>
        <v>0</v>
      </c>
      <c r="C12" s="1">
        <f>'2025'!F13</f>
        <v>0</v>
      </c>
      <c r="D12" s="43" t="s">
        <v>115</v>
      </c>
      <c r="E12" s="1" t="str">
        <f>'2025'!G13</f>
        <v>QUILLON</v>
      </c>
      <c r="F12" s="67">
        <f>'2025'!I13</f>
        <v>0</v>
      </c>
      <c r="G12" s="67">
        <f>'2025'!B13</f>
        <v>45903</v>
      </c>
      <c r="H12" s="81" t="str">
        <f>'2025'!M13</f>
        <v>MASCULINO</v>
      </c>
      <c r="I12" s="1">
        <f>'2025'!N13</f>
        <v>3310</v>
      </c>
      <c r="J12" s="43"/>
      <c r="K12" s="43"/>
    </row>
    <row r="13" spans="1:11" x14ac:dyDescent="0.25">
      <c r="A13" s="81">
        <f>'2025'!A14</f>
        <v>11</v>
      </c>
      <c r="B13" s="75">
        <f>'2025'!E14</f>
        <v>0</v>
      </c>
      <c r="C13" s="1">
        <f>'2025'!F14</f>
        <v>0</v>
      </c>
      <c r="D13" s="43" t="s">
        <v>115</v>
      </c>
      <c r="E13" s="1" t="str">
        <f>'2025'!G14</f>
        <v>COIHUECO</v>
      </c>
      <c r="F13" s="67">
        <f>'2025'!I14</f>
        <v>0</v>
      </c>
      <c r="G13" s="67">
        <f>'2025'!B14</f>
        <v>45903</v>
      </c>
      <c r="H13" s="81" t="str">
        <f>'2025'!M14</f>
        <v>MASCULINO</v>
      </c>
      <c r="I13" s="1">
        <f>'2025'!N14</f>
        <v>3330</v>
      </c>
      <c r="J13" s="43"/>
      <c r="K13" s="43"/>
    </row>
    <row r="14" spans="1:11" x14ac:dyDescent="0.25">
      <c r="A14" s="81">
        <f>'2025'!A15</f>
        <v>12</v>
      </c>
      <c r="B14" s="75">
        <f>'2025'!E15</f>
        <v>0</v>
      </c>
      <c r="C14" s="1">
        <f>'2025'!F15</f>
        <v>0</v>
      </c>
      <c r="D14" s="43" t="s">
        <v>115</v>
      </c>
      <c r="E14" s="1" t="str">
        <f>'2025'!G15</f>
        <v>YUNGAY</v>
      </c>
      <c r="F14" s="67">
        <f>'2025'!I15</f>
        <v>0</v>
      </c>
      <c r="G14" s="67">
        <f>'2025'!B15</f>
        <v>45904</v>
      </c>
      <c r="H14" s="81" t="str">
        <f>'2025'!M15</f>
        <v>MASCULINO</v>
      </c>
      <c r="I14" s="1">
        <f>'2025'!N15</f>
        <v>2350</v>
      </c>
      <c r="J14" s="43"/>
      <c r="K14" s="43"/>
    </row>
    <row r="15" spans="1:11" x14ac:dyDescent="0.25">
      <c r="A15" s="81">
        <f>'2025'!A16</f>
        <v>13</v>
      </c>
      <c r="B15" s="75">
        <f>'2025'!E16</f>
        <v>0</v>
      </c>
      <c r="C15" s="1">
        <f>'2025'!F16</f>
        <v>0</v>
      </c>
      <c r="D15" s="43" t="s">
        <v>115</v>
      </c>
      <c r="E15" s="1" t="str">
        <f>'2025'!G16</f>
        <v>CHILLAN</v>
      </c>
      <c r="F15" s="67">
        <f>'2025'!I16</f>
        <v>0</v>
      </c>
      <c r="G15" s="67">
        <f>'2025'!B16</f>
        <v>45904</v>
      </c>
      <c r="H15" s="81" t="str">
        <f>'2025'!M16</f>
        <v>MASCULINO</v>
      </c>
      <c r="I15" s="1">
        <f>'2025'!N16</f>
        <v>2250</v>
      </c>
      <c r="J15" s="43"/>
      <c r="K15" s="43"/>
    </row>
    <row r="16" spans="1:11" x14ac:dyDescent="0.25">
      <c r="A16" s="81">
        <f>'2025'!A17</f>
        <v>14</v>
      </c>
      <c r="B16" s="75">
        <f>'2025'!E17</f>
        <v>0</v>
      </c>
      <c r="C16" s="1">
        <f>'2025'!F17</f>
        <v>0</v>
      </c>
      <c r="D16" s="43" t="s">
        <v>115</v>
      </c>
      <c r="E16" s="1" t="str">
        <f>'2025'!G17</f>
        <v>CHILLAN</v>
      </c>
      <c r="F16" s="67">
        <f>'2025'!I17</f>
        <v>0</v>
      </c>
      <c r="G16" s="67">
        <f>'2025'!B17</f>
        <v>45904</v>
      </c>
      <c r="H16" s="81" t="str">
        <f>'2025'!M17</f>
        <v>FEMENINO</v>
      </c>
      <c r="I16" s="1">
        <f>'2025'!N17</f>
        <v>3095</v>
      </c>
      <c r="J16" s="43"/>
      <c r="K16" s="43"/>
    </row>
    <row r="17" spans="1:11" x14ac:dyDescent="0.25">
      <c r="A17" s="81">
        <f>'2025'!A18</f>
        <v>15</v>
      </c>
      <c r="B17" s="75">
        <f>'2025'!E18</f>
        <v>0</v>
      </c>
      <c r="C17" s="1">
        <f>'2025'!F18</f>
        <v>0</v>
      </c>
      <c r="D17" s="43" t="s">
        <v>115</v>
      </c>
      <c r="E17" s="1" t="str">
        <f>'2025'!G18</f>
        <v>CHILLAN</v>
      </c>
      <c r="F17" s="67">
        <f>'2025'!I18</f>
        <v>0</v>
      </c>
      <c r="G17" s="67">
        <f>'2025'!B18</f>
        <v>45904</v>
      </c>
      <c r="H17" s="81" t="str">
        <f>'2025'!M18</f>
        <v>FEMENINO</v>
      </c>
      <c r="I17" s="1">
        <f>'2025'!N18</f>
        <v>2865</v>
      </c>
      <c r="J17" s="43"/>
      <c r="K17" s="43"/>
    </row>
    <row r="18" spans="1:11" x14ac:dyDescent="0.25">
      <c r="A18" s="81">
        <f>'2025'!A19</f>
        <v>16</v>
      </c>
      <c r="B18" s="75">
        <f>'2025'!E19</f>
        <v>0</v>
      </c>
      <c r="C18" s="1">
        <f>'2025'!F19</f>
        <v>0</v>
      </c>
      <c r="D18" s="43" t="s">
        <v>115</v>
      </c>
      <c r="E18" s="1" t="str">
        <f>'2025'!G19</f>
        <v>CHILLAN</v>
      </c>
      <c r="F18" s="67">
        <f>'2025'!I19</f>
        <v>0</v>
      </c>
      <c r="G18" s="67">
        <f>'2025'!B19</f>
        <v>45904</v>
      </c>
      <c r="H18" s="81" t="str">
        <f>'2025'!M19</f>
        <v>FEMENINO</v>
      </c>
      <c r="I18" s="1">
        <f>'2025'!N19</f>
        <v>2740</v>
      </c>
      <c r="J18" s="43"/>
      <c r="K18" s="43"/>
    </row>
    <row r="19" spans="1:11" x14ac:dyDescent="0.25">
      <c r="A19" s="81">
        <f>'2025'!A20</f>
        <v>17</v>
      </c>
      <c r="B19" s="75">
        <f>'2025'!E20</f>
        <v>0</v>
      </c>
      <c r="C19" s="1">
        <f>'2025'!F20</f>
        <v>0</v>
      </c>
      <c r="D19" s="43" t="s">
        <v>140</v>
      </c>
      <c r="E19" s="1" t="str">
        <f>'2025'!G20</f>
        <v>CHILLAN</v>
      </c>
      <c r="F19" s="67">
        <f>'2025'!I20</f>
        <v>0</v>
      </c>
      <c r="G19" s="67">
        <f>'2025'!B20</f>
        <v>45904</v>
      </c>
      <c r="H19" s="81" t="str">
        <f>'2025'!M20</f>
        <v>MASCULINO</v>
      </c>
      <c r="I19" s="1">
        <f>'2025'!N20</f>
        <v>3260</v>
      </c>
      <c r="J19" s="43"/>
      <c r="K19" s="43"/>
    </row>
    <row r="20" spans="1:11" x14ac:dyDescent="0.25">
      <c r="A20" s="81">
        <f>'2025'!A21</f>
        <v>18</v>
      </c>
      <c r="B20" s="75">
        <f>'2025'!E21</f>
        <v>0</v>
      </c>
      <c r="C20" s="1">
        <f>'2025'!F21</f>
        <v>0</v>
      </c>
      <c r="D20" s="43" t="s">
        <v>140</v>
      </c>
      <c r="E20" s="1" t="str">
        <f>'2025'!G21</f>
        <v>CHILLÁN VIEJO</v>
      </c>
      <c r="F20" s="67">
        <f>'2025'!I21</f>
        <v>0</v>
      </c>
      <c r="G20" s="67">
        <f>'2025'!B21</f>
        <v>45904</v>
      </c>
      <c r="H20" s="81" t="str">
        <f>'2025'!M21</f>
        <v>FEMENINO</v>
      </c>
      <c r="I20" s="1">
        <f>'2025'!N21</f>
        <v>3757</v>
      </c>
      <c r="J20" s="43"/>
      <c r="K20" s="43"/>
    </row>
    <row r="21" spans="1:11" x14ac:dyDescent="0.25">
      <c r="A21" s="81">
        <f>'2025'!A22</f>
        <v>19</v>
      </c>
      <c r="B21" s="75">
        <f>'2025'!E22</f>
        <v>0</v>
      </c>
      <c r="C21" s="1">
        <f>'2025'!F22</f>
        <v>0</v>
      </c>
      <c r="D21" s="43" t="s">
        <v>115</v>
      </c>
      <c r="E21" s="1" t="str">
        <f>'2025'!G22</f>
        <v>CHILLAN VIEJO</v>
      </c>
      <c r="F21" s="67">
        <f>'2025'!I22</f>
        <v>0</v>
      </c>
      <c r="G21" s="67">
        <f>'2025'!B22</f>
        <v>45905</v>
      </c>
      <c r="H21" s="81" t="str">
        <f>'2025'!M22</f>
        <v>FEMENINO</v>
      </c>
      <c r="I21" s="1">
        <f>'2025'!N22</f>
        <v>2970</v>
      </c>
      <c r="J21" s="43"/>
      <c r="K21" s="43"/>
    </row>
    <row r="22" spans="1:11" x14ac:dyDescent="0.25">
      <c r="A22" s="81">
        <f>'2025'!A23</f>
        <v>20</v>
      </c>
      <c r="B22" s="75">
        <f>'2025'!E23</f>
        <v>0</v>
      </c>
      <c r="C22" s="1">
        <f>'2025'!F23</f>
        <v>0</v>
      </c>
      <c r="D22" s="43" t="s">
        <v>115</v>
      </c>
      <c r="E22" s="1" t="str">
        <f>'2025'!G23</f>
        <v>CHILLAN VIEJO</v>
      </c>
      <c r="F22" s="67">
        <f>'2025'!I23</f>
        <v>0</v>
      </c>
      <c r="G22" s="67">
        <f>'2025'!B23</f>
        <v>45905</v>
      </c>
      <c r="H22" s="81" t="str">
        <f>'2025'!M23</f>
        <v>MASCULINO</v>
      </c>
      <c r="I22" s="1">
        <f>'2025'!N23</f>
        <v>3390</v>
      </c>
      <c r="J22" s="43"/>
      <c r="K22" s="43"/>
    </row>
    <row r="23" spans="1:11" x14ac:dyDescent="0.25">
      <c r="A23" s="81">
        <f>'2025'!A24</f>
        <v>21</v>
      </c>
      <c r="B23" s="75">
        <f>'2025'!E24</f>
        <v>0</v>
      </c>
      <c r="C23" s="1">
        <f>'2025'!F24</f>
        <v>0</v>
      </c>
      <c r="D23" s="43" t="s">
        <v>115</v>
      </c>
      <c r="E23" s="1" t="str">
        <f>'2025'!G24</f>
        <v>CHILLAN</v>
      </c>
      <c r="F23" s="67">
        <f>'2025'!I24</f>
        <v>0</v>
      </c>
      <c r="G23" s="67">
        <f>'2025'!B24</f>
        <v>45905</v>
      </c>
      <c r="H23" s="81" t="str">
        <f>'2025'!M24</f>
        <v>FEMENINO</v>
      </c>
      <c r="I23" s="1">
        <f>'2025'!N24</f>
        <v>3130</v>
      </c>
      <c r="J23" s="43"/>
      <c r="K23" s="43"/>
    </row>
    <row r="24" spans="1:11" x14ac:dyDescent="0.25">
      <c r="A24" s="81">
        <f>'2025'!A25</f>
        <v>22</v>
      </c>
      <c r="B24" s="75">
        <f>'2025'!E25</f>
        <v>0</v>
      </c>
      <c r="C24" s="1">
        <f>'2025'!F25</f>
        <v>0</v>
      </c>
      <c r="D24" s="43" t="s">
        <v>115</v>
      </c>
      <c r="E24" s="1" t="str">
        <f>'2025'!G25</f>
        <v>EL CARMEN</v>
      </c>
      <c r="F24" s="67">
        <f>'2025'!I25</f>
        <v>0</v>
      </c>
      <c r="G24" s="67">
        <f>'2025'!B25</f>
        <v>45905</v>
      </c>
      <c r="H24" s="81" t="str">
        <f>'2025'!M25</f>
        <v>MASCULINO</v>
      </c>
      <c r="I24" s="1">
        <f>'2025'!N25</f>
        <v>3360</v>
      </c>
      <c r="J24" s="43"/>
      <c r="K24" s="43"/>
    </row>
    <row r="25" spans="1:11" x14ac:dyDescent="0.25">
      <c r="A25" s="81">
        <f>'2025'!A26</f>
        <v>23</v>
      </c>
      <c r="B25" s="75">
        <f>'2025'!E26</f>
        <v>0</v>
      </c>
      <c r="C25" s="1">
        <f>'2025'!F26</f>
        <v>0</v>
      </c>
      <c r="D25" s="43" t="s">
        <v>115</v>
      </c>
      <c r="E25" s="1" t="str">
        <f>'2025'!G26</f>
        <v>PUEBLO SECO</v>
      </c>
      <c r="F25" s="67">
        <f>'2025'!I26</f>
        <v>0</v>
      </c>
      <c r="G25" s="67">
        <f>'2025'!B26</f>
        <v>45905</v>
      </c>
      <c r="H25" s="81" t="str">
        <f>'2025'!M26</f>
        <v>FEMENINO</v>
      </c>
      <c r="I25" s="1">
        <f>'2025'!N26</f>
        <v>3370</v>
      </c>
      <c r="J25" s="43"/>
      <c r="K25" s="43"/>
    </row>
    <row r="26" spans="1:11" x14ac:dyDescent="0.25">
      <c r="A26" s="81">
        <f>'2025'!A27</f>
        <v>24</v>
      </c>
      <c r="B26" s="75">
        <f>'2025'!E27</f>
        <v>0</v>
      </c>
      <c r="C26" s="1">
        <f>'2025'!F27</f>
        <v>0</v>
      </c>
      <c r="D26" s="43" t="s">
        <v>115</v>
      </c>
      <c r="E26" s="1" t="str">
        <f>'2025'!G27</f>
        <v>CHILLAN</v>
      </c>
      <c r="F26" s="67">
        <f>'2025'!I27</f>
        <v>0</v>
      </c>
      <c r="G26" s="67">
        <f>'2025'!B27</f>
        <v>45905</v>
      </c>
      <c r="H26" s="81" t="str">
        <f>'2025'!M27</f>
        <v>FEMENINO</v>
      </c>
      <c r="I26" s="1">
        <f>'2025'!N27</f>
        <v>3360</v>
      </c>
      <c r="J26" s="43"/>
      <c r="K26" s="43"/>
    </row>
    <row r="27" spans="1:11" x14ac:dyDescent="0.25">
      <c r="A27" s="81">
        <f>'2025'!A28</f>
        <v>25</v>
      </c>
      <c r="B27" s="75">
        <f>'2025'!E28</f>
        <v>0</v>
      </c>
      <c r="C27" s="1">
        <f>'2025'!F28</f>
        <v>0</v>
      </c>
      <c r="D27" s="43" t="s">
        <v>115</v>
      </c>
      <c r="E27" s="1" t="str">
        <f>'2025'!G28</f>
        <v>BULNES</v>
      </c>
      <c r="F27" s="67">
        <f>'2025'!I28</f>
        <v>0</v>
      </c>
      <c r="G27" s="67">
        <f>'2025'!B28</f>
        <v>45783</v>
      </c>
      <c r="H27" s="81" t="str">
        <f>'2025'!M28</f>
        <v>FEMENINO</v>
      </c>
      <c r="I27" s="1">
        <f>'2025'!N28</f>
        <v>2820</v>
      </c>
      <c r="J27" s="43"/>
      <c r="K27" s="43"/>
    </row>
    <row r="28" spans="1:11" x14ac:dyDescent="0.25">
      <c r="A28" s="81">
        <f>'2025'!A29</f>
        <v>26</v>
      </c>
      <c r="B28" s="75">
        <f>'2025'!E29</f>
        <v>0</v>
      </c>
      <c r="C28" s="1">
        <f>'2025'!F29</f>
        <v>0</v>
      </c>
      <c r="D28" s="43" t="s">
        <v>115</v>
      </c>
      <c r="E28" s="1" t="str">
        <f>'2025'!G29</f>
        <v>CHILLAN</v>
      </c>
      <c r="F28" s="67">
        <f>'2025'!I29</f>
        <v>0</v>
      </c>
      <c r="G28" s="67">
        <f>'2025'!B29</f>
        <v>45906</v>
      </c>
      <c r="H28" s="81" t="str">
        <f>'2025'!M29</f>
        <v>MASCULINO</v>
      </c>
      <c r="I28" s="1">
        <f>'2025'!N29</f>
        <v>2580</v>
      </c>
      <c r="J28" s="43"/>
      <c r="K28" s="43"/>
    </row>
    <row r="29" spans="1:11" x14ac:dyDescent="0.25">
      <c r="A29" s="81">
        <f>'2025'!A30</f>
        <v>27</v>
      </c>
      <c r="B29" s="75">
        <f>'2025'!E30</f>
        <v>0</v>
      </c>
      <c r="C29" s="1">
        <f>'2025'!F30</f>
        <v>0</v>
      </c>
      <c r="D29" s="43" t="s">
        <v>115</v>
      </c>
      <c r="E29" s="1" t="str">
        <f>'2025'!G30</f>
        <v>CHILLAN</v>
      </c>
      <c r="F29" s="67">
        <f>'2025'!I30</f>
        <v>0</v>
      </c>
      <c r="G29" s="67">
        <f>'2025'!B30</f>
        <v>45907</v>
      </c>
      <c r="H29" s="81" t="str">
        <f>'2025'!M30</f>
        <v>MASCULINO</v>
      </c>
      <c r="I29" s="1">
        <f>'2025'!N30</f>
        <v>4170</v>
      </c>
      <c r="J29" s="43"/>
      <c r="K29" s="43"/>
    </row>
    <row r="30" spans="1:11" x14ac:dyDescent="0.25">
      <c r="A30" s="81">
        <f>'2025'!A31</f>
        <v>28</v>
      </c>
      <c r="B30" s="75">
        <f>'2025'!E31</f>
        <v>0</v>
      </c>
      <c r="C30" s="1">
        <f>'2025'!F31</f>
        <v>0</v>
      </c>
      <c r="D30" s="43" t="s">
        <v>115</v>
      </c>
      <c r="E30" s="1" t="str">
        <f>'2025'!G31</f>
        <v>RANQUIL</v>
      </c>
      <c r="F30" s="67">
        <f>'2025'!I31</f>
        <v>0</v>
      </c>
      <c r="G30" s="67">
        <f>'2025'!B31</f>
        <v>45907</v>
      </c>
      <c r="H30" s="81" t="str">
        <f>'2025'!M31</f>
        <v>FEMENINO</v>
      </c>
      <c r="I30" s="1">
        <f>'2025'!N31</f>
        <v>2780</v>
      </c>
      <c r="J30" s="43"/>
      <c r="K30" s="43"/>
    </row>
    <row r="31" spans="1:11" x14ac:dyDescent="0.25">
      <c r="A31" s="81">
        <f>'2025'!A32</f>
        <v>29</v>
      </c>
      <c r="B31" s="75">
        <f>'2025'!E32</f>
        <v>0</v>
      </c>
      <c r="C31" s="1">
        <f>'2025'!F32</f>
        <v>0</v>
      </c>
      <c r="D31" s="43" t="s">
        <v>115</v>
      </c>
      <c r="E31" s="1" t="str">
        <f>'2025'!G32</f>
        <v>CHILLAN</v>
      </c>
      <c r="F31" s="67">
        <f>'2025'!I32</f>
        <v>0</v>
      </c>
      <c r="G31" s="67">
        <f>'2025'!B32</f>
        <v>45908</v>
      </c>
      <c r="H31" s="81" t="str">
        <f>'2025'!M32</f>
        <v>MASCULINO</v>
      </c>
      <c r="I31" s="1">
        <f>'2025'!N32</f>
        <v>3235</v>
      </c>
      <c r="J31" s="43"/>
      <c r="K31" s="43"/>
    </row>
    <row r="32" spans="1:11" x14ac:dyDescent="0.25">
      <c r="A32" s="81">
        <f>'2025'!A33</f>
        <v>30</v>
      </c>
      <c r="B32" s="75">
        <f>'2025'!E33</f>
        <v>0</v>
      </c>
      <c r="C32" s="1">
        <f>'2025'!F33</f>
        <v>0</v>
      </c>
      <c r="D32" s="43" t="s">
        <v>115</v>
      </c>
      <c r="E32" s="1" t="str">
        <f>'2025'!G33</f>
        <v>CHILLAN</v>
      </c>
      <c r="F32" s="67">
        <f>'2025'!I33</f>
        <v>0</v>
      </c>
      <c r="G32" s="67">
        <f>'2025'!B33</f>
        <v>45908</v>
      </c>
      <c r="H32" s="81" t="str">
        <f>'2025'!M33</f>
        <v>FEMENINO</v>
      </c>
      <c r="I32" s="1">
        <f>'2025'!N33</f>
        <v>3280</v>
      </c>
      <c r="J32" s="43"/>
      <c r="K32" s="43"/>
    </row>
    <row r="33" spans="1:11" x14ac:dyDescent="0.25">
      <c r="A33" s="81">
        <f>'2025'!A34</f>
        <v>31</v>
      </c>
      <c r="B33" s="75">
        <f>'2025'!E34</f>
        <v>0</v>
      </c>
      <c r="C33" s="1">
        <f>'2025'!F34</f>
        <v>0</v>
      </c>
      <c r="D33" s="43" t="s">
        <v>115</v>
      </c>
      <c r="E33" s="1" t="str">
        <f>'2025'!G34</f>
        <v>QUIRIHUE</v>
      </c>
      <c r="F33" s="67">
        <f>'2025'!I34</f>
        <v>0</v>
      </c>
      <c r="G33" s="67">
        <f>'2025'!B34</f>
        <v>45908</v>
      </c>
      <c r="H33" s="81" t="str">
        <f>'2025'!M34</f>
        <v>FEMENINO</v>
      </c>
      <c r="I33" s="1">
        <f>'2025'!N34</f>
        <v>3960</v>
      </c>
      <c r="J33" s="43"/>
      <c r="K33" s="43"/>
    </row>
    <row r="34" spans="1:11" x14ac:dyDescent="0.25">
      <c r="A34" s="81">
        <f>'2025'!A35</f>
        <v>32</v>
      </c>
      <c r="B34" s="75">
        <f>'2025'!E35</f>
        <v>0</v>
      </c>
      <c r="C34" s="1">
        <f>'2025'!F35</f>
        <v>0</v>
      </c>
      <c r="D34" s="43" t="s">
        <v>115</v>
      </c>
      <c r="E34" s="1" t="str">
        <f>'2025'!G35</f>
        <v>COELEMU</v>
      </c>
      <c r="F34" s="67">
        <f>'2025'!I35</f>
        <v>0</v>
      </c>
      <c r="G34" s="67">
        <f>'2025'!B35</f>
        <v>45908</v>
      </c>
      <c r="H34" s="81" t="str">
        <f>'2025'!M35</f>
        <v>MASCULINO</v>
      </c>
      <c r="I34" s="1">
        <f>'2025'!N35</f>
        <v>4290</v>
      </c>
      <c r="J34" s="43"/>
      <c r="K34" s="43"/>
    </row>
    <row r="35" spans="1:11" x14ac:dyDescent="0.25">
      <c r="A35" s="81" t="e">
        <f>'2025'!#REF!</f>
        <v>#REF!</v>
      </c>
      <c r="B35" s="75">
        <f>'2025'!E36</f>
        <v>0</v>
      </c>
      <c r="C35" s="1">
        <f>'2025'!F36</f>
        <v>0</v>
      </c>
      <c r="D35" s="43" t="s">
        <v>115</v>
      </c>
      <c r="E35" s="1" t="str">
        <f>'2025'!G36</f>
        <v>PUEBLO SECO</v>
      </c>
      <c r="F35" s="67">
        <f>'2025'!I36</f>
        <v>0</v>
      </c>
      <c r="G35" s="67">
        <f>'2025'!B36</f>
        <v>45908</v>
      </c>
      <c r="H35" s="81" t="str">
        <f>'2025'!M36</f>
        <v>MASCULINO</v>
      </c>
      <c r="I35" s="1">
        <f>'2025'!N36</f>
        <v>3660</v>
      </c>
      <c r="J35" s="43"/>
      <c r="K35" s="43"/>
    </row>
    <row r="36" spans="1:11" x14ac:dyDescent="0.25">
      <c r="A36" s="81">
        <f>'2025'!A39</f>
        <v>36</v>
      </c>
      <c r="B36" s="75" t="e">
        <f>'2025'!#REF!</f>
        <v>#REF!</v>
      </c>
      <c r="C36" s="1" t="e">
        <f>'2025'!#REF!</f>
        <v>#REF!</v>
      </c>
      <c r="D36" s="43" t="s">
        <v>115</v>
      </c>
      <c r="E36" s="1" t="e">
        <f>'2025'!#REF!</f>
        <v>#REF!</v>
      </c>
      <c r="F36" s="67" t="e">
        <f>'2025'!#REF!</f>
        <v>#REF!</v>
      </c>
      <c r="G36" s="67" t="e">
        <f>'2025'!#REF!</f>
        <v>#REF!</v>
      </c>
      <c r="H36" s="81" t="e">
        <f>'2025'!#REF!</f>
        <v>#REF!</v>
      </c>
      <c r="I36" s="1" t="e">
        <f>'2025'!#REF!</f>
        <v>#REF!</v>
      </c>
      <c r="J36" s="43"/>
      <c r="K36" s="43"/>
    </row>
    <row r="37" spans="1:11" x14ac:dyDescent="0.25">
      <c r="A37" s="81">
        <f>'2025'!A40</f>
        <v>37</v>
      </c>
      <c r="B37" s="75">
        <f>'2025'!E39</f>
        <v>0</v>
      </c>
      <c r="C37" s="1">
        <f>'2025'!F39</f>
        <v>0</v>
      </c>
      <c r="D37" s="43" t="s">
        <v>115</v>
      </c>
      <c r="E37" s="1" t="str">
        <f>'2025'!G39</f>
        <v>CHILLAN</v>
      </c>
      <c r="F37" s="67">
        <f>'2025'!I39</f>
        <v>0</v>
      </c>
      <c r="G37" s="67">
        <f>'2025'!B39</f>
        <v>45908</v>
      </c>
      <c r="H37" s="81" t="str">
        <f>'2025'!M39</f>
        <v>MASCULINO</v>
      </c>
      <c r="I37" s="1">
        <f>'2025'!N39</f>
        <v>880</v>
      </c>
      <c r="J37" s="43"/>
      <c r="K37" s="43"/>
    </row>
    <row r="38" spans="1:11" x14ac:dyDescent="0.25">
      <c r="A38" s="81">
        <f>'2025'!A41</f>
        <v>38</v>
      </c>
      <c r="B38" s="75">
        <f>'2025'!E40</f>
        <v>0</v>
      </c>
      <c r="C38" s="1">
        <f>'2025'!F40</f>
        <v>0</v>
      </c>
      <c r="D38" s="43" t="s">
        <v>115</v>
      </c>
      <c r="E38" s="1" t="str">
        <f>'2025'!G40</f>
        <v>CHILLAN</v>
      </c>
      <c r="F38" s="67">
        <f>'2025'!I40</f>
        <v>0</v>
      </c>
      <c r="G38" s="67">
        <f>'2025'!B40</f>
        <v>45909</v>
      </c>
      <c r="H38" s="81" t="str">
        <f>'2025'!M40</f>
        <v>FEMENINO</v>
      </c>
      <c r="I38" s="1">
        <f>'2025'!N40</f>
        <v>3080</v>
      </c>
      <c r="J38" s="43"/>
      <c r="K38" s="43"/>
    </row>
    <row r="39" spans="1:11" x14ac:dyDescent="0.25">
      <c r="A39" s="81">
        <f>'2025'!A42</f>
        <v>39</v>
      </c>
      <c r="B39" s="75">
        <f>'2025'!E41</f>
        <v>0</v>
      </c>
      <c r="C39" s="1">
        <f>'2025'!F41</f>
        <v>0</v>
      </c>
      <c r="D39" s="43" t="s">
        <v>115</v>
      </c>
      <c r="E39" s="1" t="str">
        <f>'2025'!G41</f>
        <v>YUNGAY</v>
      </c>
      <c r="F39" s="67">
        <f>'2025'!I41</f>
        <v>0</v>
      </c>
      <c r="G39" s="67">
        <f>'2025'!B42</f>
        <v>45909</v>
      </c>
      <c r="H39" s="81" t="str">
        <f>'2025'!M41</f>
        <v>MASCULINO</v>
      </c>
      <c r="I39" s="1">
        <f>'2025'!N41</f>
        <v>2650</v>
      </c>
      <c r="J39" s="43"/>
      <c r="K39" s="43"/>
    </row>
    <row r="40" spans="1:11" x14ac:dyDescent="0.25">
      <c r="A40" s="81">
        <f>'2025'!A43</f>
        <v>40</v>
      </c>
      <c r="B40" s="75">
        <f>'2025'!E42</f>
        <v>0</v>
      </c>
      <c r="C40" s="1">
        <f>'2025'!F42</f>
        <v>0</v>
      </c>
      <c r="D40" s="43" t="s">
        <v>115</v>
      </c>
      <c r="E40" s="1" t="str">
        <f>'2025'!G42</f>
        <v>CHILLAN VIEJO</v>
      </c>
      <c r="F40" s="67">
        <f>'2025'!I42</f>
        <v>0</v>
      </c>
      <c r="G40" s="67" t="e">
        <f>'2025'!#REF!</f>
        <v>#REF!</v>
      </c>
      <c r="H40" s="81" t="str">
        <f>'2025'!M42</f>
        <v>FEMENINO</v>
      </c>
      <c r="I40" s="1">
        <f>'2025'!N42</f>
        <v>3290</v>
      </c>
      <c r="J40" s="43"/>
      <c r="K40" s="43"/>
    </row>
    <row r="41" spans="1:11" x14ac:dyDescent="0.25">
      <c r="A41" s="81">
        <f>'2025'!A44</f>
        <v>41</v>
      </c>
      <c r="B41" s="75">
        <f>'2025'!E43</f>
        <v>0</v>
      </c>
      <c r="C41" s="1">
        <f>'2025'!F43</f>
        <v>0</v>
      </c>
      <c r="D41" s="43" t="s">
        <v>115</v>
      </c>
      <c r="E41" s="1" t="str">
        <f>'2025'!G43</f>
        <v>CHILLAN</v>
      </c>
      <c r="F41" s="67">
        <f>'2025'!I43</f>
        <v>0</v>
      </c>
      <c r="G41" s="67">
        <f>'2025'!B43</f>
        <v>45909</v>
      </c>
      <c r="H41" s="81" t="str">
        <f>'2025'!M43</f>
        <v>FEMENINO</v>
      </c>
      <c r="I41" s="1">
        <f>'2025'!N43</f>
        <v>3535</v>
      </c>
      <c r="J41" s="43"/>
      <c r="K41" s="43"/>
    </row>
    <row r="42" spans="1:11" x14ac:dyDescent="0.25">
      <c r="A42" s="81">
        <f>'2025'!A45</f>
        <v>42</v>
      </c>
      <c r="B42" s="75">
        <f>'2025'!E44</f>
        <v>0</v>
      </c>
      <c r="C42" s="1">
        <f>'2025'!F44</f>
        <v>0</v>
      </c>
      <c r="D42" s="43" t="s">
        <v>115</v>
      </c>
      <c r="E42" s="1" t="str">
        <f>'2025'!G44</f>
        <v>CHILLAN</v>
      </c>
      <c r="F42" s="67">
        <f>'2025'!I44</f>
        <v>0</v>
      </c>
      <c r="G42" s="67">
        <f>'2025'!B44</f>
        <v>45909</v>
      </c>
      <c r="H42" s="81" t="str">
        <f>'2025'!M44</f>
        <v>MASCULINO</v>
      </c>
      <c r="I42" s="1">
        <f>'2025'!N44</f>
        <v>3720</v>
      </c>
      <c r="J42" s="43"/>
      <c r="K42" s="43"/>
    </row>
    <row r="43" spans="1:11" x14ac:dyDescent="0.25">
      <c r="A43" s="81">
        <f>'2025'!A46</f>
        <v>43</v>
      </c>
      <c r="B43" s="75">
        <f>'2025'!E45</f>
        <v>0</v>
      </c>
      <c r="C43" s="1">
        <f>'2025'!F45</f>
        <v>0</v>
      </c>
      <c r="D43" s="43" t="s">
        <v>115</v>
      </c>
      <c r="E43" s="1" t="str">
        <f>'2025'!G45</f>
        <v>COIHUECO</v>
      </c>
      <c r="F43" s="67">
        <f>'2025'!I45</f>
        <v>0</v>
      </c>
      <c r="G43" s="67">
        <f>'2025'!B45</f>
        <v>45910</v>
      </c>
      <c r="H43" s="81" t="str">
        <f>'2025'!M45</f>
        <v>MASCULINO</v>
      </c>
      <c r="I43" s="1">
        <f>'2025'!N45</f>
        <v>4190</v>
      </c>
      <c r="J43" s="43"/>
      <c r="K43" s="43"/>
    </row>
    <row r="44" spans="1:11" x14ac:dyDescent="0.25">
      <c r="A44" s="81">
        <f>'2025'!A47</f>
        <v>44</v>
      </c>
      <c r="B44" s="75">
        <f>'2025'!E46</f>
        <v>0</v>
      </c>
      <c r="C44" s="1">
        <f>'2025'!F46</f>
        <v>0</v>
      </c>
      <c r="D44" s="43" t="s">
        <v>115</v>
      </c>
      <c r="E44" s="1" t="str">
        <f>'2025'!G46</f>
        <v>EL CARMEN</v>
      </c>
      <c r="F44" s="67">
        <f>'2025'!I46</f>
        <v>0</v>
      </c>
      <c r="G44" s="67">
        <f>'2025'!B46</f>
        <v>45910</v>
      </c>
      <c r="H44" s="81" t="str">
        <f>'2025'!M46</f>
        <v>MASCULINO</v>
      </c>
      <c r="I44" s="1">
        <f>'2025'!N46</f>
        <v>4260</v>
      </c>
      <c r="J44" s="43"/>
      <c r="K44" s="43"/>
    </row>
    <row r="45" spans="1:11" x14ac:dyDescent="0.25">
      <c r="A45" s="81">
        <f>'2025'!A48</f>
        <v>45</v>
      </c>
      <c r="B45" s="75">
        <f>'2025'!E47</f>
        <v>0</v>
      </c>
      <c r="C45" s="1">
        <f>'2025'!F47</f>
        <v>0</v>
      </c>
      <c r="D45" s="43" t="s">
        <v>115</v>
      </c>
      <c r="E45" s="1" t="str">
        <f>'2025'!G47</f>
        <v>CHILLAN</v>
      </c>
      <c r="F45" s="67">
        <f>'2025'!I47</f>
        <v>0</v>
      </c>
      <c r="G45" s="67">
        <f>'2025'!B47</f>
        <v>45910</v>
      </c>
      <c r="H45" s="81" t="str">
        <f>'2025'!M47</f>
        <v>MASCULINO</v>
      </c>
      <c r="I45" s="1">
        <f>'2025'!N47</f>
        <v>3330</v>
      </c>
      <c r="J45" s="43"/>
      <c r="K45" s="43"/>
    </row>
    <row r="46" spans="1:11" x14ac:dyDescent="0.25">
      <c r="A46" s="81">
        <f>'2025'!A49</f>
        <v>46</v>
      </c>
      <c r="B46" s="75">
        <f>'2025'!E48</f>
        <v>0</v>
      </c>
      <c r="C46" s="1">
        <f>'2025'!F48</f>
        <v>0</v>
      </c>
      <c r="D46" s="43" t="s">
        <v>115</v>
      </c>
      <c r="E46" s="1" t="str">
        <f>'2025'!G48</f>
        <v>BULNES</v>
      </c>
      <c r="F46" s="67">
        <f>'2025'!I48</f>
        <v>0</v>
      </c>
      <c r="G46" s="67">
        <f>'2025'!B48</f>
        <v>45910</v>
      </c>
      <c r="H46" s="81" t="str">
        <f>'2025'!M48</f>
        <v>FEMENINO</v>
      </c>
      <c r="I46" s="1">
        <f>'2025'!N48</f>
        <v>3110</v>
      </c>
      <c r="J46" s="43"/>
      <c r="K46" s="43"/>
    </row>
    <row r="47" spans="1:11" x14ac:dyDescent="0.25">
      <c r="A47" s="81">
        <f>'2025'!A50</f>
        <v>47</v>
      </c>
      <c r="B47" s="75">
        <f>'2025'!E49</f>
        <v>0</v>
      </c>
      <c r="C47" s="1">
        <f>'2025'!F49</f>
        <v>0</v>
      </c>
      <c r="D47" s="43" t="s">
        <v>115</v>
      </c>
      <c r="E47" s="1" t="str">
        <f>'2025'!G49</f>
        <v>YUNGAY</v>
      </c>
      <c r="F47" s="67">
        <f>'2025'!I49</f>
        <v>0</v>
      </c>
      <c r="G47" s="67">
        <f>'2025'!B49</f>
        <v>45910</v>
      </c>
      <c r="H47" s="81" t="str">
        <f>'2025'!M49</f>
        <v>FEMENINO</v>
      </c>
      <c r="I47" s="1">
        <f>'2025'!N49</f>
        <v>4070</v>
      </c>
      <c r="J47" s="43"/>
      <c r="K47" s="43"/>
    </row>
    <row r="48" spans="1:11" x14ac:dyDescent="0.25">
      <c r="A48" s="81">
        <f>'2025'!A51</f>
        <v>48</v>
      </c>
      <c r="B48" s="75">
        <f>'2025'!E50</f>
        <v>0</v>
      </c>
      <c r="C48" s="1">
        <f>'2025'!F50</f>
        <v>0</v>
      </c>
      <c r="D48" s="43" t="s">
        <v>115</v>
      </c>
      <c r="E48" s="1" t="str">
        <f>'2025'!G50</f>
        <v>CHILLAN</v>
      </c>
      <c r="F48" s="67">
        <f>'2025'!I50</f>
        <v>0</v>
      </c>
      <c r="G48" s="67">
        <f>'2025'!C53</f>
        <v>0.42152777777777778</v>
      </c>
      <c r="H48" s="81" t="str">
        <f>'2025'!M50</f>
        <v>MASCULINO</v>
      </c>
      <c r="I48" s="1">
        <f>'2025'!N50</f>
        <v>2940</v>
      </c>
      <c r="J48" s="43"/>
      <c r="K48" s="43"/>
    </row>
    <row r="49" spans="1:11" x14ac:dyDescent="0.25">
      <c r="A49" s="81">
        <f>'2025'!A52</f>
        <v>49</v>
      </c>
      <c r="B49" s="75">
        <f>'2025'!E51</f>
        <v>0</v>
      </c>
      <c r="C49" s="1">
        <f>'2025'!F51</f>
        <v>0</v>
      </c>
      <c r="D49" s="43" t="s">
        <v>115</v>
      </c>
      <c r="E49" s="1" t="str">
        <f>'2025'!G51</f>
        <v>CHILLAN</v>
      </c>
      <c r="F49" s="67">
        <f>'2025'!I51</f>
        <v>0</v>
      </c>
      <c r="G49" s="67">
        <f>'2025'!B51</f>
        <v>45910</v>
      </c>
      <c r="H49" s="81" t="str">
        <f>'2025'!M51</f>
        <v>FEMENINO</v>
      </c>
      <c r="I49" s="1">
        <f>'2025'!N51</f>
        <v>2180</v>
      </c>
      <c r="J49" s="43"/>
      <c r="K49" s="43"/>
    </row>
    <row r="50" spans="1:11" x14ac:dyDescent="0.25">
      <c r="A50" s="81">
        <f>'2025'!A53</f>
        <v>50</v>
      </c>
      <c r="B50" s="75">
        <f>'2025'!E52</f>
        <v>0</v>
      </c>
      <c r="C50" s="1">
        <f>'2025'!F52</f>
        <v>0</v>
      </c>
      <c r="D50" s="43" t="s">
        <v>115</v>
      </c>
      <c r="E50" s="1" t="str">
        <f>'2025'!G53</f>
        <v>BULNES</v>
      </c>
      <c r="F50" s="67">
        <f>'2025'!I52</f>
        <v>0</v>
      </c>
      <c r="G50" s="67">
        <f>'2025'!B52</f>
        <v>45910</v>
      </c>
      <c r="H50" s="81" t="str">
        <f>'2025'!M52</f>
        <v>MASCULINO</v>
      </c>
      <c r="I50" s="1">
        <f>'2025'!N52</f>
        <v>1878</v>
      </c>
      <c r="J50" s="43"/>
      <c r="K50" s="43"/>
    </row>
    <row r="51" spans="1:11" x14ac:dyDescent="0.25">
      <c r="A51" s="81">
        <f>'2025'!A54</f>
        <v>51</v>
      </c>
      <c r="B51" s="75">
        <f>'2025'!E53</f>
        <v>0</v>
      </c>
      <c r="C51" s="1">
        <f>'2025'!F53</f>
        <v>0</v>
      </c>
      <c r="D51" s="43" t="s">
        <v>115</v>
      </c>
      <c r="E51" s="1" t="e">
        <f>'2025'!#REF!</f>
        <v>#REF!</v>
      </c>
      <c r="F51" s="67">
        <f>'2025'!I53</f>
        <v>0</v>
      </c>
      <c r="G51" s="67">
        <f>'2025'!B53</f>
        <v>45911</v>
      </c>
      <c r="H51" s="81" t="str">
        <f>'2025'!M53</f>
        <v>MASCULINO</v>
      </c>
      <c r="I51" s="1">
        <f>'2025'!N53</f>
        <v>3567</v>
      </c>
      <c r="J51" s="43"/>
      <c r="K51" s="43"/>
    </row>
    <row r="52" spans="1:11" x14ac:dyDescent="0.25">
      <c r="A52" s="81">
        <f>'2025'!A55</f>
        <v>52</v>
      </c>
      <c r="B52" s="75">
        <f>'2025'!E54</f>
        <v>0</v>
      </c>
      <c r="C52" s="1">
        <f>'2025'!F54</f>
        <v>0</v>
      </c>
      <c r="D52" s="43" t="s">
        <v>115</v>
      </c>
      <c r="E52" s="1" t="str">
        <f>'2025'!G54</f>
        <v>EL CARMEN</v>
      </c>
      <c r="F52" s="67">
        <f>'2025'!I54</f>
        <v>0</v>
      </c>
      <c r="G52" s="67">
        <f>'2025'!B54</f>
        <v>45911</v>
      </c>
      <c r="H52" s="81" t="str">
        <f>'2025'!M54</f>
        <v>FEMENINO</v>
      </c>
      <c r="I52" s="1">
        <f>'2025'!N54</f>
        <v>3880</v>
      </c>
      <c r="J52" s="43"/>
      <c r="K52" s="43"/>
    </row>
    <row r="53" spans="1:11" x14ac:dyDescent="0.25">
      <c r="A53" s="81" t="e">
        <f>'2025'!#REF!</f>
        <v>#REF!</v>
      </c>
      <c r="B53" s="75">
        <f>'2025'!E55</f>
        <v>0</v>
      </c>
      <c r="C53" s="1">
        <f>'2025'!F55</f>
        <v>0</v>
      </c>
      <c r="D53" s="43" t="s">
        <v>115</v>
      </c>
      <c r="E53" s="1" t="str">
        <f>'2025'!G55</f>
        <v>CHILLAN</v>
      </c>
      <c r="F53" s="67">
        <f>'2025'!I55</f>
        <v>0</v>
      </c>
      <c r="G53" s="67">
        <f>'2025'!B55</f>
        <v>45911</v>
      </c>
      <c r="H53" s="81" t="str">
        <f>'2025'!M55</f>
        <v>FEMENINO</v>
      </c>
      <c r="I53" s="1">
        <f>'2025'!N55</f>
        <v>2900</v>
      </c>
      <c r="J53" s="43"/>
      <c r="K53" s="43"/>
    </row>
    <row r="54" spans="1:11" x14ac:dyDescent="0.25">
      <c r="A54" s="81">
        <f>'2025'!A56</f>
        <v>53</v>
      </c>
      <c r="B54" s="75" t="e">
        <f>'2025'!#REF!</f>
        <v>#REF!</v>
      </c>
      <c r="C54" s="1" t="e">
        <f>'2025'!#REF!</f>
        <v>#REF!</v>
      </c>
      <c r="D54" s="43" t="s">
        <v>115</v>
      </c>
      <c r="E54" s="1" t="e">
        <f>'2025'!#REF!</f>
        <v>#REF!</v>
      </c>
      <c r="F54" s="67" t="e">
        <f>'2025'!#REF!</f>
        <v>#REF!</v>
      </c>
      <c r="G54" s="67" t="e">
        <f>'2025'!#REF!</f>
        <v>#REF!</v>
      </c>
      <c r="H54" s="81" t="e">
        <f>'2025'!#REF!</f>
        <v>#REF!</v>
      </c>
      <c r="I54" s="1" t="e">
        <f>'2025'!#REF!</f>
        <v>#REF!</v>
      </c>
      <c r="J54" s="43"/>
      <c r="K54" s="43"/>
    </row>
    <row r="55" spans="1:11" x14ac:dyDescent="0.25">
      <c r="A55" s="81">
        <f>'2025'!A57</f>
        <v>54</v>
      </c>
      <c r="B55" s="75">
        <f>'2025'!E56</f>
        <v>0</v>
      </c>
      <c r="C55" s="1">
        <f>'2025'!F56</f>
        <v>0</v>
      </c>
      <c r="D55" s="43" t="s">
        <v>115</v>
      </c>
      <c r="E55" s="1" t="str">
        <f>'2025'!G56</f>
        <v>CHILLAN</v>
      </c>
      <c r="F55" s="67">
        <f>'2025'!I56</f>
        <v>0</v>
      </c>
      <c r="G55" s="67">
        <f>'2025'!B56</f>
        <v>45911</v>
      </c>
      <c r="H55" s="81" t="str">
        <f>'2025'!M56</f>
        <v>MASCULINO</v>
      </c>
      <c r="I55" s="1">
        <f>'2025'!N56</f>
        <v>3890</v>
      </c>
      <c r="J55" s="43"/>
      <c r="K55" s="43"/>
    </row>
    <row r="56" spans="1:11" x14ac:dyDescent="0.25">
      <c r="A56" s="81">
        <f>'2025'!A58</f>
        <v>55</v>
      </c>
      <c r="B56" s="75">
        <f>'2025'!E57</f>
        <v>0</v>
      </c>
      <c r="C56" s="1">
        <f>'2025'!F57</f>
        <v>0</v>
      </c>
      <c r="D56" s="43" t="s">
        <v>115</v>
      </c>
      <c r="E56" s="1" t="str">
        <f>'2025'!G57</f>
        <v>SAN IGNACIO</v>
      </c>
      <c r="F56" s="67">
        <f>'2025'!I57</f>
        <v>0</v>
      </c>
      <c r="G56" s="67">
        <f>'2025'!B57</f>
        <v>45911</v>
      </c>
      <c r="H56" s="81" t="str">
        <f>'2025'!M57</f>
        <v>MASCULINO</v>
      </c>
      <c r="I56" s="1">
        <f>'2025'!N57</f>
        <v>3030</v>
      </c>
      <c r="J56" s="43"/>
      <c r="K56" s="43"/>
    </row>
    <row r="57" spans="1:11" x14ac:dyDescent="0.25">
      <c r="A57" s="81">
        <f>'2025'!A59</f>
        <v>56</v>
      </c>
      <c r="B57" s="75">
        <f>'2025'!E58</f>
        <v>0</v>
      </c>
      <c r="C57" s="1">
        <f>'2025'!F58</f>
        <v>0</v>
      </c>
      <c r="D57" s="43" t="s">
        <v>115</v>
      </c>
      <c r="E57" s="1" t="str">
        <f>'2025'!G58</f>
        <v>YUNGAY</v>
      </c>
      <c r="F57" s="67">
        <f>'2025'!I58</f>
        <v>0</v>
      </c>
      <c r="G57" s="67">
        <f>'2025'!B58</f>
        <v>45911</v>
      </c>
      <c r="H57" s="81" t="str">
        <f>'2025'!M58</f>
        <v>FEMENINO</v>
      </c>
      <c r="I57" s="1">
        <f>'2025'!N58</f>
        <v>2810</v>
      </c>
      <c r="J57" s="43"/>
      <c r="K57" s="43"/>
    </row>
    <row r="58" spans="1:11" x14ac:dyDescent="0.25">
      <c r="A58" s="81">
        <f>'2025'!A60</f>
        <v>57</v>
      </c>
      <c r="B58" s="75">
        <f>'2025'!E59</f>
        <v>0</v>
      </c>
      <c r="C58" s="1">
        <f>'2025'!F59</f>
        <v>0</v>
      </c>
      <c r="D58" s="43" t="s">
        <v>115</v>
      </c>
      <c r="E58" s="1" t="str">
        <f>'2025'!G59</f>
        <v>CHILLAN VIEJO</v>
      </c>
      <c r="F58" s="67">
        <f>'2025'!I59</f>
        <v>0</v>
      </c>
      <c r="G58" s="67">
        <f>'2025'!B59</f>
        <v>45912</v>
      </c>
      <c r="H58" s="81" t="str">
        <f>'2025'!M59</f>
        <v>FEMENINO</v>
      </c>
      <c r="I58" s="1">
        <f>'2025'!N59</f>
        <v>3910</v>
      </c>
      <c r="J58" s="43"/>
      <c r="K58" s="43"/>
    </row>
    <row r="59" spans="1:11" x14ac:dyDescent="0.25">
      <c r="A59" s="81">
        <f>'2025'!A61</f>
        <v>58</v>
      </c>
      <c r="B59" s="75">
        <f>'2025'!E60</f>
        <v>0</v>
      </c>
      <c r="C59" s="1">
        <f>'2025'!F60</f>
        <v>0</v>
      </c>
      <c r="D59" s="43" t="s">
        <v>115</v>
      </c>
      <c r="E59" s="1" t="str">
        <f>'2025'!G60</f>
        <v>CHILLAN</v>
      </c>
      <c r="F59" s="67">
        <f>'2025'!I60</f>
        <v>0</v>
      </c>
      <c r="G59" s="67">
        <f>'2025'!B60</f>
        <v>45912</v>
      </c>
      <c r="H59" s="81" t="str">
        <f>'2025'!M60</f>
        <v>FEMENINO</v>
      </c>
      <c r="I59" s="1">
        <f>'2025'!N60</f>
        <v>3030</v>
      </c>
      <c r="J59" s="43"/>
      <c r="K59" s="43"/>
    </row>
    <row r="60" spans="1:11" x14ac:dyDescent="0.25">
      <c r="A60" s="81">
        <f>'2025'!A62</f>
        <v>59</v>
      </c>
      <c r="B60" s="75">
        <f>'2025'!E61</f>
        <v>0</v>
      </c>
      <c r="C60" s="1">
        <f>'2025'!F61</f>
        <v>0</v>
      </c>
      <c r="D60" s="43" t="s">
        <v>115</v>
      </c>
      <c r="E60" s="1" t="str">
        <f>'2025'!G61</f>
        <v>CHILLAN</v>
      </c>
      <c r="F60" s="67">
        <f>'2025'!I61</f>
        <v>0</v>
      </c>
      <c r="G60" s="67">
        <f>'2025'!B61</f>
        <v>45912</v>
      </c>
      <c r="H60" s="81" t="str">
        <f>'2025'!M61</f>
        <v>FEMENINO</v>
      </c>
      <c r="I60" s="1">
        <f>'2025'!N61</f>
        <v>3560</v>
      </c>
      <c r="J60" s="43"/>
      <c r="K60" s="43"/>
    </row>
    <row r="61" spans="1:11" x14ac:dyDescent="0.25">
      <c r="A61" s="81">
        <f>'2025'!A63</f>
        <v>60</v>
      </c>
      <c r="B61" s="75">
        <f>'2025'!E62</f>
        <v>0</v>
      </c>
      <c r="C61" s="1">
        <f>'2025'!F62</f>
        <v>0</v>
      </c>
      <c r="D61" s="43" t="s">
        <v>115</v>
      </c>
      <c r="E61" s="1" t="str">
        <f>'2025'!G62</f>
        <v>CHILLAN</v>
      </c>
      <c r="F61" s="67">
        <f>'2025'!I62</f>
        <v>0</v>
      </c>
      <c r="G61" s="67">
        <f>'2025'!B62</f>
        <v>45912</v>
      </c>
      <c r="H61" s="81" t="str">
        <f>'2025'!M62</f>
        <v>MASCULINO</v>
      </c>
      <c r="I61" s="1">
        <f>'2025'!N62</f>
        <v>2960</v>
      </c>
      <c r="J61" s="43"/>
      <c r="K61" s="43"/>
    </row>
    <row r="62" spans="1:11" x14ac:dyDescent="0.25">
      <c r="A62" s="81">
        <f>'2025'!A64</f>
        <v>61</v>
      </c>
      <c r="B62" s="75">
        <f>'2025'!E63</f>
        <v>0</v>
      </c>
      <c r="C62" s="1">
        <f>'2025'!F63</f>
        <v>0</v>
      </c>
      <c r="D62" s="43" t="s">
        <v>115</v>
      </c>
      <c r="E62" s="1" t="str">
        <f>'2025'!G63</f>
        <v>CHILLAN</v>
      </c>
      <c r="F62" s="67">
        <f>'2025'!I63</f>
        <v>0</v>
      </c>
      <c r="G62" s="67">
        <f>'2025'!B63</f>
        <v>45912</v>
      </c>
      <c r="H62" s="81" t="str">
        <f>'2025'!M63</f>
        <v>MASCULINO</v>
      </c>
      <c r="I62" s="1">
        <f>'2025'!N63</f>
        <v>3270</v>
      </c>
      <c r="J62" s="43"/>
      <c r="K62" s="43"/>
    </row>
    <row r="63" spans="1:11" x14ac:dyDescent="0.25">
      <c r="A63" s="81">
        <f>'2025'!A65</f>
        <v>62</v>
      </c>
      <c r="B63" s="75">
        <f>'2025'!E64</f>
        <v>0</v>
      </c>
      <c r="C63" s="1">
        <f>'2025'!F64</f>
        <v>0</v>
      </c>
      <c r="D63" s="43" t="s">
        <v>115</v>
      </c>
      <c r="E63" s="1" t="str">
        <f>'2025'!G64</f>
        <v>QUILLON</v>
      </c>
      <c r="F63" s="67">
        <f>'2025'!I64</f>
        <v>0</v>
      </c>
      <c r="G63" s="67">
        <f>'2025'!B64</f>
        <v>45912</v>
      </c>
      <c r="H63" s="81" t="str">
        <f>'2025'!M64</f>
        <v>FEMENINO</v>
      </c>
      <c r="I63" s="1">
        <f>'2025'!N64</f>
        <v>3660</v>
      </c>
      <c r="J63" s="43"/>
      <c r="K63" s="43"/>
    </row>
    <row r="64" spans="1:11" x14ac:dyDescent="0.25">
      <c r="A64" s="81">
        <f>'2025'!A66</f>
        <v>63</v>
      </c>
      <c r="B64" s="75">
        <f>'2025'!E65</f>
        <v>0</v>
      </c>
      <c r="C64" s="1">
        <f>'2025'!F65</f>
        <v>0</v>
      </c>
      <c r="D64" s="43" t="s">
        <v>115</v>
      </c>
      <c r="E64" s="1" t="str">
        <f>'2025'!G65</f>
        <v>COELEMU</v>
      </c>
      <c r="F64" s="67">
        <f>'2025'!I65</f>
        <v>0</v>
      </c>
      <c r="G64" s="67">
        <f>'2025'!B65</f>
        <v>45913</v>
      </c>
      <c r="H64" s="81" t="str">
        <f>'2025'!M65</f>
        <v>MASCULINO</v>
      </c>
      <c r="I64" s="1">
        <f>'2025'!N65</f>
        <v>4020</v>
      </c>
      <c r="J64" s="43"/>
      <c r="K64" s="43"/>
    </row>
    <row r="65" spans="1:11" x14ac:dyDescent="0.25">
      <c r="A65" s="81">
        <f>'2025'!A67</f>
        <v>64</v>
      </c>
      <c r="B65" s="75">
        <f>'2025'!E66</f>
        <v>0</v>
      </c>
      <c r="C65" s="1">
        <f>'2025'!F66</f>
        <v>0</v>
      </c>
      <c r="D65" s="43" t="s">
        <v>115</v>
      </c>
      <c r="E65" s="1" t="str">
        <f>'2025'!G66</f>
        <v>PORTEZUELO</v>
      </c>
      <c r="F65" s="67">
        <f>'2025'!I66</f>
        <v>0</v>
      </c>
      <c r="G65" s="67">
        <f>'2025'!B66</f>
        <v>45913</v>
      </c>
      <c r="H65" s="81" t="str">
        <f>'2025'!M66</f>
        <v>MASCULINO</v>
      </c>
      <c r="I65" s="1">
        <f>'2025'!N66</f>
        <v>2385</v>
      </c>
      <c r="J65" s="43"/>
      <c r="K65" s="43"/>
    </row>
    <row r="66" spans="1:11" x14ac:dyDescent="0.25">
      <c r="A66" s="81">
        <f>'2025'!A68</f>
        <v>65</v>
      </c>
      <c r="B66" s="75">
        <f>'2025'!E67</f>
        <v>0</v>
      </c>
      <c r="C66" s="1">
        <f>'2025'!F67</f>
        <v>0</v>
      </c>
      <c r="D66" s="43" t="s">
        <v>115</v>
      </c>
      <c r="E66" s="1" t="str">
        <f>'2025'!G67</f>
        <v>CHILLAN</v>
      </c>
      <c r="F66" s="67">
        <f>'2025'!I67</f>
        <v>0</v>
      </c>
      <c r="G66" s="67">
        <f>'2025'!B67</f>
        <v>45913</v>
      </c>
      <c r="H66" s="81" t="str">
        <f>'2025'!M67</f>
        <v>MASCULINO</v>
      </c>
      <c r="I66" s="1">
        <f>'2025'!N67</f>
        <v>3710</v>
      </c>
      <c r="J66" s="43"/>
      <c r="K66" s="43"/>
    </row>
    <row r="67" spans="1:11" x14ac:dyDescent="0.25">
      <c r="A67" s="81">
        <f>'2025'!A69</f>
        <v>66</v>
      </c>
      <c r="B67" s="75">
        <f>'2025'!E68</f>
        <v>0</v>
      </c>
      <c r="C67" s="1">
        <f>'2025'!F68</f>
        <v>0</v>
      </c>
      <c r="D67" s="43" t="s">
        <v>115</v>
      </c>
      <c r="E67" s="1" t="str">
        <f>'2025'!G68</f>
        <v>EL CARMEN</v>
      </c>
      <c r="F67" s="67">
        <f>'2025'!I68</f>
        <v>0</v>
      </c>
      <c r="G67" s="67">
        <f>'2025'!B68</f>
        <v>45913</v>
      </c>
      <c r="H67" s="81" t="str">
        <f>'2025'!M68</f>
        <v>FEMENINO</v>
      </c>
      <c r="I67" s="1">
        <f>'2025'!N68</f>
        <v>2370</v>
      </c>
      <c r="J67" s="43"/>
      <c r="K67" s="43"/>
    </row>
    <row r="68" spans="1:11" x14ac:dyDescent="0.25">
      <c r="A68" s="81">
        <f>'2025'!A70</f>
        <v>67</v>
      </c>
      <c r="B68" s="75">
        <f>'2025'!E69</f>
        <v>0</v>
      </c>
      <c r="C68" s="1">
        <f>'2025'!F69</f>
        <v>0</v>
      </c>
      <c r="D68" s="43" t="s">
        <v>115</v>
      </c>
      <c r="E68" s="1" t="str">
        <f>'2025'!G69</f>
        <v>CHILLAN</v>
      </c>
      <c r="F68" s="67">
        <f>'2025'!I69</f>
        <v>0</v>
      </c>
      <c r="G68" s="67">
        <f>'2025'!B69</f>
        <v>45913</v>
      </c>
      <c r="H68" s="81" t="str">
        <f>'2025'!M69</f>
        <v>FEMENINO</v>
      </c>
      <c r="I68" s="1">
        <f>'2025'!N69</f>
        <v>2860</v>
      </c>
      <c r="J68" s="43"/>
      <c r="K68" s="43"/>
    </row>
    <row r="69" spans="1:11" x14ac:dyDescent="0.25">
      <c r="A69" s="81">
        <f>'2025'!A71</f>
        <v>68</v>
      </c>
      <c r="B69" s="75">
        <f>'2025'!E70</f>
        <v>0</v>
      </c>
      <c r="C69" s="1">
        <f>'2025'!F70</f>
        <v>0</v>
      </c>
      <c r="D69" s="43" t="s">
        <v>115</v>
      </c>
      <c r="E69" s="1" t="str">
        <f>'2025'!G70</f>
        <v>EL CARMEN</v>
      </c>
      <c r="F69" s="67">
        <f>'2025'!I70</f>
        <v>0</v>
      </c>
      <c r="G69" s="67">
        <f>'2025'!B70</f>
        <v>45914</v>
      </c>
      <c r="H69" s="81" t="str">
        <f>'2025'!M70</f>
        <v>FEMENINO</v>
      </c>
      <c r="I69" s="1">
        <f>'2025'!N70</f>
        <v>2560</v>
      </c>
      <c r="J69" s="43"/>
      <c r="K69" s="43"/>
    </row>
    <row r="70" spans="1:11" x14ac:dyDescent="0.25">
      <c r="A70" s="81">
        <f>'2025'!A72</f>
        <v>69</v>
      </c>
      <c r="B70" s="75">
        <f>'2025'!E71</f>
        <v>0</v>
      </c>
      <c r="C70" s="1">
        <f>'2025'!F71</f>
        <v>0</v>
      </c>
      <c r="D70" s="43" t="s">
        <v>115</v>
      </c>
      <c r="E70" s="1" t="str">
        <f>'2025'!G71</f>
        <v>CHILLAN</v>
      </c>
      <c r="F70" s="67">
        <f>'2025'!I71</f>
        <v>0</v>
      </c>
      <c r="G70" s="67">
        <f>'2025'!B71</f>
        <v>45914</v>
      </c>
      <c r="H70" s="81" t="str">
        <f>'2025'!M71</f>
        <v>FEMENINO</v>
      </c>
      <c r="I70" s="1">
        <f>'2025'!N71</f>
        <v>3990</v>
      </c>
      <c r="J70" s="43"/>
      <c r="K70" s="43"/>
    </row>
    <row r="71" spans="1:11" x14ac:dyDescent="0.25">
      <c r="A71" s="81">
        <f>'2025'!A73</f>
        <v>70</v>
      </c>
      <c r="B71" s="75">
        <f>'2025'!E72</f>
        <v>0</v>
      </c>
      <c r="C71" s="1">
        <f>'2025'!F72</f>
        <v>0</v>
      </c>
      <c r="D71" s="43" t="s">
        <v>140</v>
      </c>
      <c r="E71" s="1" t="str">
        <f>'2025'!G72</f>
        <v>CHILLAN</v>
      </c>
      <c r="F71" s="67">
        <f>'2025'!I72</f>
        <v>0</v>
      </c>
      <c r="G71" s="67">
        <f>'2025'!B72</f>
        <v>45914</v>
      </c>
      <c r="H71" s="81" t="str">
        <f>'2025'!M72</f>
        <v>MASCULINO</v>
      </c>
      <c r="I71" s="1">
        <f>'2025'!N72</f>
        <v>4080</v>
      </c>
      <c r="J71" s="43"/>
      <c r="K71" s="43"/>
    </row>
    <row r="72" spans="1:11" x14ac:dyDescent="0.25">
      <c r="A72" s="81">
        <f>'2025'!A74</f>
        <v>71</v>
      </c>
      <c r="B72" s="75">
        <f>'2025'!E73</f>
        <v>0</v>
      </c>
      <c r="C72" s="1">
        <f>'2025'!F73</f>
        <v>0</v>
      </c>
      <c r="D72" s="43" t="s">
        <v>115</v>
      </c>
      <c r="E72" s="1" t="str">
        <f>'2025'!G73</f>
        <v>CHILLAN</v>
      </c>
      <c r="F72" s="67">
        <f>'2025'!I73</f>
        <v>0</v>
      </c>
      <c r="G72" s="67" t="e">
        <f>'2025'!#REF!</f>
        <v>#REF!</v>
      </c>
      <c r="H72" s="81" t="str">
        <f>'2025'!M73</f>
        <v>FEMENINO</v>
      </c>
      <c r="I72" s="1">
        <f>'2025'!N73</f>
        <v>3750</v>
      </c>
      <c r="J72" s="43"/>
      <c r="K72" s="43"/>
    </row>
    <row r="73" spans="1:11" x14ac:dyDescent="0.25">
      <c r="A73" s="81">
        <f>'2025'!A75</f>
        <v>72</v>
      </c>
      <c r="B73" s="75">
        <f>'2025'!E74</f>
        <v>0</v>
      </c>
      <c r="C73" s="1">
        <f>'2025'!F74</f>
        <v>0</v>
      </c>
      <c r="D73" s="43" t="s">
        <v>115</v>
      </c>
      <c r="E73" s="1" t="str">
        <f>'2025'!G74</f>
        <v>PORTEZUELO</v>
      </c>
      <c r="F73" s="67">
        <f>'2025'!I74</f>
        <v>0</v>
      </c>
      <c r="G73" s="67">
        <f ca="1">'2025'!B74</f>
        <v>45902</v>
      </c>
      <c r="H73" s="81" t="str">
        <f>'2025'!M74</f>
        <v>FEMENINO</v>
      </c>
      <c r="I73" s="1">
        <f>'2025'!N74</f>
        <v>3590</v>
      </c>
      <c r="J73" s="43"/>
      <c r="K73" s="43"/>
    </row>
    <row r="74" spans="1:11" x14ac:dyDescent="0.25">
      <c r="A74" s="81">
        <f>'2025'!A76</f>
        <v>73</v>
      </c>
      <c r="B74" s="75">
        <f>'2025'!E75</f>
        <v>0</v>
      </c>
      <c r="C74" s="1">
        <f>'2025'!F75</f>
        <v>0</v>
      </c>
      <c r="D74" s="43" t="s">
        <v>115</v>
      </c>
      <c r="E74" s="1" t="str">
        <f>'2025'!G75</f>
        <v>CHILLAN VIEJO</v>
      </c>
      <c r="F74" s="67">
        <f>'2025'!I75</f>
        <v>0</v>
      </c>
      <c r="G74" s="67">
        <f>'2025'!B75</f>
        <v>45915</v>
      </c>
      <c r="H74" s="81" t="str">
        <f>'2025'!M75</f>
        <v>MASCULINO</v>
      </c>
      <c r="I74" s="1">
        <f>'2025'!N75</f>
        <v>3220</v>
      </c>
      <c r="J74" s="43"/>
      <c r="K74" s="43"/>
    </row>
    <row r="75" spans="1:11" x14ac:dyDescent="0.25">
      <c r="A75" s="81">
        <f>'2025'!A77</f>
        <v>74</v>
      </c>
      <c r="B75" s="75">
        <f>'2025'!E76</f>
        <v>0</v>
      </c>
      <c r="C75" s="1">
        <f>'2025'!F76</f>
        <v>0</v>
      </c>
      <c r="D75" s="43" t="s">
        <v>115</v>
      </c>
      <c r="E75" s="1" t="str">
        <f>'2025'!G76</f>
        <v>ÑIPAS</v>
      </c>
      <c r="F75" s="67">
        <f>'2025'!I76</f>
        <v>0</v>
      </c>
      <c r="G75" s="67">
        <f>'2025'!B76</f>
        <v>45915</v>
      </c>
      <c r="H75" s="81" t="str">
        <f>'2025'!M76</f>
        <v>FEMENINO</v>
      </c>
      <c r="I75" s="1">
        <f>'2025'!N76</f>
        <v>2360</v>
      </c>
      <c r="J75" s="43"/>
      <c r="K75" s="43"/>
    </row>
    <row r="76" spans="1:11" x14ac:dyDescent="0.25">
      <c r="A76" s="81">
        <f>'2025'!A78</f>
        <v>75</v>
      </c>
      <c r="B76" s="75">
        <f>'2025'!E77</f>
        <v>0</v>
      </c>
      <c r="C76" s="1">
        <f>'2025'!F77</f>
        <v>0</v>
      </c>
      <c r="D76" s="43" t="s">
        <v>115</v>
      </c>
      <c r="E76" s="1" t="str">
        <f>'2025'!G77</f>
        <v>SAN IGNACIO</v>
      </c>
      <c r="F76" s="67">
        <f>'2025'!I77</f>
        <v>0</v>
      </c>
      <c r="G76" s="67">
        <f>'2025'!B77</f>
        <v>45916</v>
      </c>
      <c r="H76" s="81" t="str">
        <f>'2025'!M77</f>
        <v>FEMENINO</v>
      </c>
      <c r="I76" s="1">
        <f>'2025'!N77</f>
        <v>2830</v>
      </c>
      <c r="J76" s="43"/>
      <c r="K76" s="43"/>
    </row>
    <row r="77" spans="1:11" x14ac:dyDescent="0.25">
      <c r="A77" s="81">
        <f>'2025'!A79</f>
        <v>76</v>
      </c>
      <c r="B77" s="75">
        <f>'2025'!E78</f>
        <v>0</v>
      </c>
      <c r="C77" s="1">
        <f>'2025'!F78</f>
        <v>0</v>
      </c>
      <c r="D77" s="43" t="s">
        <v>115</v>
      </c>
      <c r="E77" s="1" t="str">
        <f>'2025'!G78</f>
        <v>QUIRIHUE</v>
      </c>
      <c r="F77" s="67">
        <f>'2025'!I78</f>
        <v>0</v>
      </c>
      <c r="G77" s="67">
        <f>'2025'!B78</f>
        <v>45916</v>
      </c>
      <c r="H77" s="81" t="str">
        <f>'2025'!M78</f>
        <v>FEMENINO</v>
      </c>
      <c r="I77" s="1">
        <f>'2025'!N78</f>
        <v>3110</v>
      </c>
      <c r="J77" s="43"/>
      <c r="K77" s="43"/>
    </row>
    <row r="78" spans="1:11" s="78" customFormat="1" x14ac:dyDescent="0.25">
      <c r="A78" s="81">
        <f>'2025'!A80</f>
        <v>77</v>
      </c>
      <c r="B78" s="75">
        <f>'2025'!E79</f>
        <v>0</v>
      </c>
      <c r="C78" s="1">
        <f>'2025'!F79</f>
        <v>0</v>
      </c>
      <c r="D78" s="98" t="s">
        <v>115</v>
      </c>
      <c r="E78" s="1" t="str">
        <f>'2025'!G79</f>
        <v>COIHUECO</v>
      </c>
      <c r="F78" s="67">
        <f>'2025'!I79</f>
        <v>0</v>
      </c>
      <c r="G78" s="67">
        <f>'2025'!B79</f>
        <v>45916</v>
      </c>
      <c r="H78" s="81" t="str">
        <f>'2025'!M79</f>
        <v>MASCULINO</v>
      </c>
      <c r="I78" s="1">
        <f>'2025'!N79</f>
        <v>3220</v>
      </c>
      <c r="J78" s="98"/>
      <c r="K78" s="98"/>
    </row>
    <row r="79" spans="1:11" x14ac:dyDescent="0.25">
      <c r="A79" s="81">
        <f>'2025'!A81</f>
        <v>78</v>
      </c>
      <c r="B79" s="75">
        <f>'2025'!E80</f>
        <v>0</v>
      </c>
      <c r="C79" s="1">
        <f>'2025'!F80</f>
        <v>0</v>
      </c>
      <c r="D79" s="43" t="s">
        <v>115</v>
      </c>
      <c r="E79" s="1" t="str">
        <f>'2025'!G80</f>
        <v>PINTO</v>
      </c>
      <c r="F79" s="67">
        <f>'2025'!I80</f>
        <v>0</v>
      </c>
      <c r="G79" s="67">
        <f>'2025'!B80</f>
        <v>45916</v>
      </c>
      <c r="H79" s="81" t="str">
        <f>'2025'!M80</f>
        <v>MASCULINO</v>
      </c>
      <c r="I79" s="1">
        <f>'2025'!N80</f>
        <v>3370</v>
      </c>
      <c r="J79" s="43"/>
      <c r="K79" s="43"/>
    </row>
    <row r="80" spans="1:11" x14ac:dyDescent="0.25">
      <c r="A80" s="81">
        <f>'2025'!A82</f>
        <v>79</v>
      </c>
      <c r="B80" s="75">
        <f>'2025'!E81</f>
        <v>0</v>
      </c>
      <c r="C80" s="1">
        <f>'2025'!F81</f>
        <v>0</v>
      </c>
      <c r="D80" s="43" t="s">
        <v>115</v>
      </c>
      <c r="E80" s="1" t="str">
        <f>'2025'!G81</f>
        <v>PINTO</v>
      </c>
      <c r="F80" s="67">
        <f>'2025'!I81</f>
        <v>0</v>
      </c>
      <c r="G80" s="67">
        <f>'2025'!B81</f>
        <v>45916</v>
      </c>
      <c r="H80" s="81" t="str">
        <f>'2025'!M81</f>
        <v>MASCULINO</v>
      </c>
      <c r="I80" s="1">
        <f>'2025'!N81</f>
        <v>3280</v>
      </c>
      <c r="J80" s="43"/>
      <c r="K80" s="43"/>
    </row>
    <row r="81" spans="1:11" x14ac:dyDescent="0.25">
      <c r="A81" s="81">
        <f>'2025'!A83</f>
        <v>80</v>
      </c>
      <c r="B81" s="75">
        <f>'2025'!E82</f>
        <v>0</v>
      </c>
      <c r="C81" s="1">
        <f>'2025'!F82</f>
        <v>0</v>
      </c>
      <c r="D81" s="43" t="s">
        <v>115</v>
      </c>
      <c r="E81" s="1" t="str">
        <f>'2025'!G82</f>
        <v>PINTO</v>
      </c>
      <c r="F81" s="67">
        <f>'2025'!I82</f>
        <v>0</v>
      </c>
      <c r="G81" s="67">
        <f>'2025'!B82</f>
        <v>45916</v>
      </c>
      <c r="H81" s="81" t="str">
        <f>'2025'!M82</f>
        <v>MASCULINO</v>
      </c>
      <c r="I81" s="1">
        <f>'2025'!N82</f>
        <v>3450</v>
      </c>
      <c r="J81" s="43"/>
      <c r="K81" s="43"/>
    </row>
    <row r="82" spans="1:11" x14ac:dyDescent="0.25">
      <c r="A82" s="81">
        <f>'2025'!A84</f>
        <v>81</v>
      </c>
      <c r="B82" s="75">
        <f>'2025'!E83</f>
        <v>0</v>
      </c>
      <c r="C82" s="1">
        <f>'2025'!F83</f>
        <v>0</v>
      </c>
      <c r="D82" s="43" t="s">
        <v>115</v>
      </c>
      <c r="E82" s="1" t="str">
        <f>'2025'!G83</f>
        <v>CHILLAN</v>
      </c>
      <c r="F82" s="67">
        <f>'2025'!I83</f>
        <v>0</v>
      </c>
      <c r="G82" s="67">
        <f>'2025'!B83</f>
        <v>45917</v>
      </c>
      <c r="H82" s="81" t="str">
        <f>'2025'!M83</f>
        <v>FEMENINO</v>
      </c>
      <c r="I82" s="1">
        <f>'2025'!N83</f>
        <v>3320</v>
      </c>
      <c r="J82" s="43"/>
      <c r="K82" s="43"/>
    </row>
    <row r="83" spans="1:11" x14ac:dyDescent="0.25">
      <c r="A83" s="81">
        <f>'2025'!A85</f>
        <v>82</v>
      </c>
      <c r="B83" s="75">
        <f>'2025'!E84</f>
        <v>0</v>
      </c>
      <c r="C83" s="1">
        <f>'2025'!F84</f>
        <v>0</v>
      </c>
      <c r="D83" s="43" t="s">
        <v>115</v>
      </c>
      <c r="E83" s="1" t="str">
        <f>'2025'!G84</f>
        <v>CHILLAN</v>
      </c>
      <c r="F83" s="67">
        <f>'2025'!I84</f>
        <v>0</v>
      </c>
      <c r="G83" s="67">
        <f>'2025'!B84</f>
        <v>45917</v>
      </c>
      <c r="H83" s="81" t="str">
        <f>'2025'!M84</f>
        <v>MASCULINO</v>
      </c>
      <c r="I83" s="1">
        <f>'2025'!N84</f>
        <v>3410</v>
      </c>
      <c r="J83" s="43"/>
      <c r="K83" s="43"/>
    </row>
    <row r="84" spans="1:11" x14ac:dyDescent="0.25">
      <c r="A84" s="81">
        <f>'2025'!A86</f>
        <v>83</v>
      </c>
      <c r="B84" s="75">
        <f>'2025'!E85</f>
        <v>0</v>
      </c>
      <c r="C84" s="1">
        <f>'2025'!F85</f>
        <v>0</v>
      </c>
      <c r="D84" s="43" t="s">
        <v>115</v>
      </c>
      <c r="E84" s="1" t="str">
        <f>'2025'!G85</f>
        <v>CHILLAN</v>
      </c>
      <c r="F84" s="67">
        <f>'2025'!I85</f>
        <v>0</v>
      </c>
      <c r="G84" s="67">
        <f>'2025'!B85</f>
        <v>45918</v>
      </c>
      <c r="H84" s="81" t="str">
        <f>'2025'!M85</f>
        <v>FEMENINO</v>
      </c>
      <c r="I84" s="1">
        <f>'2025'!N85</f>
        <v>3610</v>
      </c>
      <c r="J84" s="43"/>
      <c r="K84" s="43"/>
    </row>
    <row r="85" spans="1:11" x14ac:dyDescent="0.25">
      <c r="A85" s="81">
        <f>'2025'!A87</f>
        <v>84</v>
      </c>
      <c r="B85" s="75">
        <f>'2025'!E86</f>
        <v>0</v>
      </c>
      <c r="C85" s="1">
        <f>'2025'!F86</f>
        <v>0</v>
      </c>
      <c r="D85" s="43" t="s">
        <v>115</v>
      </c>
      <c r="E85" s="1" t="str">
        <f>'2025'!G86</f>
        <v>CHILLAN</v>
      </c>
      <c r="F85" s="67">
        <f>'2025'!I86</f>
        <v>0</v>
      </c>
      <c r="G85" s="67">
        <f>'2025'!B86</f>
        <v>45918</v>
      </c>
      <c r="H85" s="81" t="str">
        <f>'2025'!M86</f>
        <v>MASCULINO</v>
      </c>
      <c r="I85" s="1">
        <f>'2025'!N86</f>
        <v>3980</v>
      </c>
      <c r="J85" s="43"/>
      <c r="K85" s="43"/>
    </row>
    <row r="86" spans="1:11" x14ac:dyDescent="0.25">
      <c r="A86" s="81">
        <f>'2025'!A88</f>
        <v>85</v>
      </c>
      <c r="B86" s="75">
        <f>'2025'!E87</f>
        <v>0</v>
      </c>
      <c r="C86" s="1">
        <f>'2025'!F87</f>
        <v>0</v>
      </c>
      <c r="D86" s="43" t="s">
        <v>115</v>
      </c>
      <c r="E86" s="1" t="str">
        <f>'2025'!G87</f>
        <v>CHILLAN</v>
      </c>
      <c r="F86" s="67">
        <f>'2025'!I87</f>
        <v>0</v>
      </c>
      <c r="G86" s="67">
        <f>'2025'!B87</f>
        <v>45918</v>
      </c>
      <c r="H86" s="81" t="str">
        <f>'2025'!M87</f>
        <v>MASCULINO</v>
      </c>
      <c r="I86" s="1">
        <f>'2025'!N87</f>
        <v>1990</v>
      </c>
      <c r="J86" s="43"/>
      <c r="K86" s="43"/>
    </row>
    <row r="87" spans="1:11" x14ac:dyDescent="0.25">
      <c r="A87" s="81">
        <f>'2025'!A89</f>
        <v>86</v>
      </c>
      <c r="B87" s="75">
        <f>'2025'!E88</f>
        <v>0</v>
      </c>
      <c r="C87" s="1">
        <f>'2025'!F88</f>
        <v>0</v>
      </c>
      <c r="D87" s="43" t="s">
        <v>115</v>
      </c>
      <c r="E87" s="1" t="str">
        <f>'2025'!G88</f>
        <v>COIHUECO</v>
      </c>
      <c r="F87" s="67">
        <f>'2025'!I88</f>
        <v>0</v>
      </c>
      <c r="G87" s="67">
        <f>'2025'!B88</f>
        <v>45918</v>
      </c>
      <c r="H87" s="81" t="str">
        <f>'2025'!M88</f>
        <v>MASCULINO</v>
      </c>
      <c r="I87" s="1">
        <f>'2025'!N88</f>
        <v>3050</v>
      </c>
      <c r="J87" s="43"/>
      <c r="K87" s="43"/>
    </row>
    <row r="88" spans="1:11" x14ac:dyDescent="0.25">
      <c r="A88" s="81">
        <f>'2025'!A90</f>
        <v>87</v>
      </c>
      <c r="B88" s="75">
        <f>'2025'!E89</f>
        <v>0</v>
      </c>
      <c r="C88" s="1">
        <f>'2025'!F89</f>
        <v>0</v>
      </c>
      <c r="D88" s="43" t="s">
        <v>115</v>
      </c>
      <c r="E88" s="1" t="str">
        <f>'2025'!G89</f>
        <v>CHILLAN</v>
      </c>
      <c r="F88" s="67">
        <f>'2025'!I89</f>
        <v>0</v>
      </c>
      <c r="G88" s="67">
        <f>'2025'!B89</f>
        <v>45919</v>
      </c>
      <c r="H88" s="81" t="str">
        <f>'2025'!M89</f>
        <v>MASCULINO</v>
      </c>
      <c r="I88" s="1">
        <f>'2025'!N89</f>
        <v>3660</v>
      </c>
      <c r="J88" s="43"/>
      <c r="K88" s="43"/>
    </row>
    <row r="89" spans="1:11" x14ac:dyDescent="0.25">
      <c r="A89" s="81">
        <f>'2025'!A91</f>
        <v>88</v>
      </c>
      <c r="B89" s="75">
        <f>'2025'!E90</f>
        <v>0</v>
      </c>
      <c r="C89" s="1">
        <f>'2025'!F90</f>
        <v>0</v>
      </c>
      <c r="D89" s="43" t="s">
        <v>140</v>
      </c>
      <c r="E89" s="1" t="str">
        <f>'2025'!G90</f>
        <v>COIHUECO</v>
      </c>
      <c r="F89" s="67">
        <f>'2025'!I90</f>
        <v>0</v>
      </c>
      <c r="G89" s="67">
        <f>'2025'!B90</f>
        <v>45919</v>
      </c>
      <c r="H89" s="81" t="str">
        <f>'2025'!M90</f>
        <v>FEMENINO</v>
      </c>
      <c r="I89" s="1">
        <f>'2025'!N90</f>
        <v>3970</v>
      </c>
      <c r="J89" s="43"/>
      <c r="K89" s="43"/>
    </row>
    <row r="90" spans="1:11" x14ac:dyDescent="0.25">
      <c r="A90" s="81">
        <f>'2025'!A92</f>
        <v>89</v>
      </c>
      <c r="B90" s="75">
        <f>'2025'!E91</f>
        <v>0</v>
      </c>
      <c r="C90" s="1">
        <f>'2025'!F91</f>
        <v>0</v>
      </c>
      <c r="D90" s="43"/>
      <c r="E90" s="1" t="str">
        <f>'2025'!G91</f>
        <v>EL CARMEN</v>
      </c>
      <c r="F90" s="67">
        <f>'2025'!I91</f>
        <v>0</v>
      </c>
      <c r="G90" s="67">
        <f>'2025'!B91</f>
        <v>45920</v>
      </c>
      <c r="H90" s="81" t="str">
        <f>'2025'!M91</f>
        <v>MASCULINO</v>
      </c>
      <c r="I90" s="1">
        <f>'2025'!N91</f>
        <v>3300</v>
      </c>
      <c r="J90" s="43"/>
      <c r="K90" s="43"/>
    </row>
    <row r="91" spans="1:11" x14ac:dyDescent="0.25">
      <c r="A91" s="81">
        <f>'2025'!A93</f>
        <v>90</v>
      </c>
      <c r="B91" s="75">
        <f>'2025'!E92</f>
        <v>0</v>
      </c>
      <c r="C91" s="1">
        <f>'2025'!F92</f>
        <v>0</v>
      </c>
      <c r="D91" s="43"/>
      <c r="E91" s="1" t="str">
        <f>'2025'!G92</f>
        <v>COIHUECO</v>
      </c>
      <c r="F91" s="67">
        <f>'2025'!I92</f>
        <v>0</v>
      </c>
      <c r="G91" s="67">
        <f>'2025'!B92</f>
        <v>45921</v>
      </c>
      <c r="H91" s="81" t="str">
        <f>'2025'!M92</f>
        <v>MASCULINO</v>
      </c>
      <c r="I91" s="1">
        <f>'2025'!N92</f>
        <v>3500</v>
      </c>
      <c r="J91" s="43"/>
      <c r="K91" s="43"/>
    </row>
    <row r="92" spans="1:11" x14ac:dyDescent="0.25">
      <c r="A92" s="81">
        <f>'2025'!A94</f>
        <v>91</v>
      </c>
      <c r="B92" s="75">
        <f>'2025'!E93</f>
        <v>0</v>
      </c>
      <c r="C92" s="1">
        <f>'2025'!F93</f>
        <v>0</v>
      </c>
      <c r="D92" s="43"/>
      <c r="E92" s="1" t="str">
        <f>'2025'!G93</f>
        <v>EL CARMEN</v>
      </c>
      <c r="F92" s="67">
        <f>'2025'!I93</f>
        <v>0</v>
      </c>
      <c r="G92" s="67">
        <f>'2025'!B93</f>
        <v>45921</v>
      </c>
      <c r="H92" s="81" t="str">
        <f>'2025'!M93</f>
        <v>MASCULINO</v>
      </c>
      <c r="I92" s="1">
        <f>'2025'!N93</f>
        <v>2910</v>
      </c>
      <c r="J92" s="43"/>
      <c r="K92" s="43"/>
    </row>
    <row r="93" spans="1:11" x14ac:dyDescent="0.25">
      <c r="A93" s="81">
        <f>'2025'!A95</f>
        <v>92</v>
      </c>
      <c r="B93" s="75">
        <f>'2025'!E94</f>
        <v>0</v>
      </c>
      <c r="C93" s="1">
        <f>'2025'!F94</f>
        <v>0</v>
      </c>
      <c r="D93" s="43"/>
      <c r="E93" s="1" t="str">
        <f>'2025'!G94</f>
        <v>CHILLAN</v>
      </c>
      <c r="F93" s="67">
        <f>'2025'!I94</f>
        <v>0</v>
      </c>
      <c r="G93" s="67">
        <f>'2025'!B94</f>
        <v>45922</v>
      </c>
      <c r="H93" s="81" t="str">
        <f>'2025'!M94</f>
        <v>FEMENINO</v>
      </c>
      <c r="I93" s="1">
        <f>'2025'!N94</f>
        <v>1670</v>
      </c>
      <c r="J93" s="43"/>
      <c r="K93" s="43"/>
    </row>
    <row r="94" spans="1:11" x14ac:dyDescent="0.25">
      <c r="A94" s="81">
        <f>'2025'!A96</f>
        <v>93</v>
      </c>
      <c r="B94" s="75">
        <f>'2025'!E95</f>
        <v>0</v>
      </c>
      <c r="C94" s="1">
        <f>'2025'!F95</f>
        <v>0</v>
      </c>
      <c r="D94" s="43"/>
      <c r="E94" s="1" t="str">
        <f>'2025'!G95</f>
        <v>CHILLAN</v>
      </c>
      <c r="F94" s="67">
        <f>'2025'!I95</f>
        <v>0</v>
      </c>
      <c r="G94" s="67">
        <f>'2025'!B95</f>
        <v>45922</v>
      </c>
      <c r="H94" s="81" t="str">
        <f>'2025'!M95</f>
        <v>MASCULINO</v>
      </c>
      <c r="I94" s="1">
        <f>'2025'!N95</f>
        <v>3970</v>
      </c>
      <c r="J94" s="43"/>
      <c r="K94" s="43"/>
    </row>
    <row r="95" spans="1:11" x14ac:dyDescent="0.25">
      <c r="A95" s="81">
        <f>'2025'!A97</f>
        <v>94</v>
      </c>
      <c r="B95" s="75">
        <f>'2025'!E96</f>
        <v>0</v>
      </c>
      <c r="C95" s="1">
        <f>'2025'!F96</f>
        <v>0</v>
      </c>
      <c r="D95" s="43"/>
      <c r="E95" s="1" t="str">
        <f>'2025'!G96</f>
        <v>EL CARMEN</v>
      </c>
      <c r="F95" s="67">
        <f>'2025'!I96</f>
        <v>0</v>
      </c>
      <c r="G95" s="67">
        <f>'2025'!B96</f>
        <v>45922</v>
      </c>
      <c r="H95" s="81" t="str">
        <f>'2025'!M96</f>
        <v>FEMENINO</v>
      </c>
      <c r="I95" s="1">
        <f>'2025'!N96</f>
        <v>3060</v>
      </c>
      <c r="J95" s="43"/>
      <c r="K95" s="43"/>
    </row>
    <row r="96" spans="1:11" x14ac:dyDescent="0.25">
      <c r="A96" s="81">
        <f>'2025'!A98</f>
        <v>95</v>
      </c>
      <c r="B96" s="75">
        <f>'2025'!E97</f>
        <v>0</v>
      </c>
      <c r="C96" s="1">
        <f>'2025'!F97</f>
        <v>0</v>
      </c>
      <c r="D96" s="43"/>
      <c r="E96" s="1" t="str">
        <f>'2025'!G97</f>
        <v>COELEMU</v>
      </c>
      <c r="F96" s="67">
        <f>'2025'!I97</f>
        <v>0</v>
      </c>
      <c r="G96" s="67">
        <f>'2025'!B97</f>
        <v>45922</v>
      </c>
      <c r="H96" s="81" t="str">
        <f>'2025'!M97</f>
        <v>MASCULINO</v>
      </c>
      <c r="I96" s="1">
        <f>'2025'!N97</f>
        <v>1350</v>
      </c>
      <c r="J96" s="43"/>
      <c r="K96" s="43"/>
    </row>
    <row r="97" spans="1:11" x14ac:dyDescent="0.25">
      <c r="A97" s="81">
        <f>'2025'!A99</f>
        <v>96</v>
      </c>
      <c r="B97" s="75">
        <f>'2025'!E98</f>
        <v>0</v>
      </c>
      <c r="C97" s="1">
        <f>'2025'!F98</f>
        <v>0</v>
      </c>
      <c r="D97" s="43"/>
      <c r="E97" s="1" t="str">
        <f>'2025'!G98</f>
        <v>CHILLAN</v>
      </c>
      <c r="F97" s="67">
        <f>'2025'!I98</f>
        <v>0</v>
      </c>
      <c r="G97" s="67">
        <f>'2025'!B98</f>
        <v>45922</v>
      </c>
      <c r="H97" s="81" t="str">
        <f>'2025'!M98</f>
        <v>FEMENINO</v>
      </c>
      <c r="I97" s="1">
        <f>'2025'!N98</f>
        <v>3260</v>
      </c>
      <c r="J97" s="43"/>
      <c r="K97" s="43"/>
    </row>
    <row r="98" spans="1:11" x14ac:dyDescent="0.25">
      <c r="A98" s="81">
        <f>'2025'!A100</f>
        <v>97</v>
      </c>
      <c r="B98" s="75">
        <f>'2025'!E99</f>
        <v>0</v>
      </c>
      <c r="C98" s="1">
        <f>'2025'!F99</f>
        <v>0</v>
      </c>
      <c r="D98" s="43"/>
      <c r="E98" s="1" t="str">
        <f>'2025'!G99</f>
        <v>CHILLÁN VIEJO</v>
      </c>
      <c r="F98" s="67">
        <f>'2025'!I99</f>
        <v>0</v>
      </c>
      <c r="G98" s="67">
        <f>'2025'!B99</f>
        <v>45922</v>
      </c>
      <c r="H98" s="81" t="str">
        <f>'2025'!M99</f>
        <v>FEMENINO</v>
      </c>
      <c r="I98" s="1">
        <f>'2025'!N99</f>
        <v>3180</v>
      </c>
      <c r="J98" s="43"/>
      <c r="K98" s="43"/>
    </row>
    <row r="99" spans="1:11" x14ac:dyDescent="0.25">
      <c r="A99" s="81">
        <f>'2025'!A101</f>
        <v>98</v>
      </c>
      <c r="B99" s="75">
        <f>'2025'!E100</f>
        <v>0</v>
      </c>
      <c r="C99" s="1">
        <f>'2025'!F100</f>
        <v>0</v>
      </c>
      <c r="D99" s="43"/>
      <c r="E99" s="1" t="str">
        <f>'2025'!G100</f>
        <v>CHILLAN</v>
      </c>
      <c r="F99" s="67">
        <f>'2025'!I100</f>
        <v>0</v>
      </c>
      <c r="G99" s="67">
        <f>'2025'!B100</f>
        <v>45922</v>
      </c>
      <c r="H99" s="81" t="str">
        <f>'2025'!M100</f>
        <v>MASCULINO</v>
      </c>
      <c r="I99" s="1">
        <f>'2025'!N100</f>
        <v>4130</v>
      </c>
      <c r="J99" s="43"/>
      <c r="K99" s="43"/>
    </row>
    <row r="100" spans="1:11" x14ac:dyDescent="0.25">
      <c r="A100" s="81">
        <f>'2025'!A102</f>
        <v>99</v>
      </c>
      <c r="B100" s="75">
        <f>'2025'!E101</f>
        <v>0</v>
      </c>
      <c r="C100" s="1">
        <f>'2025'!F101</f>
        <v>0</v>
      </c>
      <c r="D100" s="43"/>
      <c r="E100" s="1" t="str">
        <f>'2025'!G101</f>
        <v>CHILLAN</v>
      </c>
      <c r="F100" s="67">
        <f>'2025'!I101</f>
        <v>0</v>
      </c>
      <c r="G100" s="67">
        <f>'2025'!B101</f>
        <v>45922</v>
      </c>
      <c r="H100" s="81" t="str">
        <f>'2025'!M101</f>
        <v>FEMENINO</v>
      </c>
      <c r="I100" s="1">
        <f>'2025'!N101</f>
        <v>3420</v>
      </c>
      <c r="J100" s="43"/>
      <c r="K100" s="43"/>
    </row>
    <row r="101" spans="1:11" x14ac:dyDescent="0.25">
      <c r="A101" s="81">
        <f>'2025'!A103</f>
        <v>100</v>
      </c>
      <c r="B101" s="75">
        <f>'2025'!E102</f>
        <v>0</v>
      </c>
      <c r="C101" s="1">
        <f>'2025'!F102</f>
        <v>0</v>
      </c>
      <c r="D101" s="43"/>
      <c r="E101" s="1" t="str">
        <f>'2025'!G102</f>
        <v>QUIRIQUINA</v>
      </c>
      <c r="F101" s="67">
        <f>'2025'!I102</f>
        <v>0</v>
      </c>
      <c r="G101" s="67">
        <f>'2025'!B102</f>
        <v>45923</v>
      </c>
      <c r="H101" s="81" t="str">
        <f>'2025'!M102</f>
        <v>MASCULINO</v>
      </c>
      <c r="I101" s="1">
        <f>'2025'!N102</f>
        <v>3230</v>
      </c>
      <c r="J101" s="43"/>
      <c r="K101" s="43"/>
    </row>
    <row r="102" spans="1:11" x14ac:dyDescent="0.25">
      <c r="A102" s="81">
        <f>'2025'!A104</f>
        <v>101</v>
      </c>
      <c r="B102" s="75">
        <f>'2025'!E103</f>
        <v>0</v>
      </c>
      <c r="C102" s="1">
        <f>'2025'!F103</f>
        <v>0</v>
      </c>
      <c r="D102" s="43"/>
      <c r="E102" s="1" t="str">
        <f>'2025'!G103</f>
        <v>COIHUECO</v>
      </c>
      <c r="F102" s="67">
        <f>'2025'!I103</f>
        <v>0</v>
      </c>
      <c r="G102" s="67">
        <f>'2025'!B103</f>
        <v>45923</v>
      </c>
      <c r="H102" s="81" t="str">
        <f>'2025'!M103</f>
        <v>MASCULINO</v>
      </c>
      <c r="I102" s="1">
        <f>'2025'!N103</f>
        <v>4060</v>
      </c>
      <c r="J102" s="43"/>
      <c r="K102" s="43"/>
    </row>
    <row r="103" spans="1:11" x14ac:dyDescent="0.25">
      <c r="A103" s="81">
        <f>'2025'!A105</f>
        <v>102</v>
      </c>
      <c r="B103" s="75">
        <f>'2025'!E104</f>
        <v>0</v>
      </c>
      <c r="C103" s="1">
        <f>'2025'!F104</f>
        <v>0</v>
      </c>
      <c r="D103" s="43"/>
      <c r="E103" s="1" t="str">
        <f>'2025'!G104</f>
        <v>CHILLAN</v>
      </c>
      <c r="F103" s="67">
        <f>'2025'!I104</f>
        <v>0</v>
      </c>
      <c r="G103" s="67">
        <f>'2025'!B104</f>
        <v>45923</v>
      </c>
      <c r="H103" s="81" t="str">
        <f>'2025'!M104</f>
        <v>FEMENINO</v>
      </c>
      <c r="I103" s="1">
        <f>'2025'!N104</f>
        <v>3830</v>
      </c>
      <c r="J103" s="43"/>
      <c r="K103" s="43"/>
    </row>
    <row r="104" spans="1:11" x14ac:dyDescent="0.25">
      <c r="A104" s="81">
        <f>'2025'!A106</f>
        <v>103</v>
      </c>
      <c r="B104" s="75">
        <f>'2025'!E105</f>
        <v>0</v>
      </c>
      <c r="C104" s="1">
        <f>'2025'!F105</f>
        <v>0</v>
      </c>
      <c r="D104" s="43"/>
      <c r="E104" s="1" t="str">
        <f>'2025'!G105</f>
        <v>EL CARMEN</v>
      </c>
      <c r="F104" s="67">
        <f>'2025'!I105</f>
        <v>0</v>
      </c>
      <c r="G104" s="67">
        <f>'2025'!B105</f>
        <v>45923</v>
      </c>
      <c r="H104" s="81" t="str">
        <f>'2025'!M105</f>
        <v>MASCULINO</v>
      </c>
      <c r="I104" s="1">
        <f>'2025'!N105</f>
        <v>2480</v>
      </c>
      <c r="J104" s="43"/>
      <c r="K104" s="43"/>
    </row>
    <row r="105" spans="1:11" x14ac:dyDescent="0.25">
      <c r="A105" s="81">
        <f>'2025'!A107</f>
        <v>104</v>
      </c>
      <c r="B105" s="75">
        <f>'2025'!E106</f>
        <v>0</v>
      </c>
      <c r="C105" s="1">
        <f>'2025'!F106</f>
        <v>0</v>
      </c>
      <c r="D105" s="43"/>
      <c r="E105" s="1">
        <f>'2025'!G106</f>
        <v>0</v>
      </c>
      <c r="F105" s="67">
        <f>'2025'!I106</f>
        <v>0</v>
      </c>
      <c r="G105" s="67">
        <f>'2025'!B106</f>
        <v>45923</v>
      </c>
      <c r="H105" s="81" t="str">
        <f>'2025'!M106</f>
        <v>MASCULINO</v>
      </c>
      <c r="I105" s="1">
        <f>'2025'!N106</f>
        <v>2399</v>
      </c>
      <c r="J105" s="43"/>
      <c r="K105" s="43"/>
    </row>
    <row r="106" spans="1:11" x14ac:dyDescent="0.25">
      <c r="A106" s="81">
        <f>'2025'!A108</f>
        <v>105</v>
      </c>
      <c r="B106" s="75">
        <f>'2025'!E107</f>
        <v>0</v>
      </c>
      <c r="C106" s="1">
        <f>'2025'!F107</f>
        <v>0</v>
      </c>
      <c r="D106" s="43"/>
      <c r="E106" s="1" t="str">
        <f>'2025'!G107</f>
        <v>BULNES</v>
      </c>
      <c r="F106" s="67">
        <f>'2025'!I107</f>
        <v>0</v>
      </c>
      <c r="G106" s="67">
        <f>'2025'!B107</f>
        <v>45923</v>
      </c>
      <c r="H106" s="81" t="str">
        <f>'2025'!M107</f>
        <v>FEMENINO</v>
      </c>
      <c r="I106" s="1">
        <f>'2025'!N107</f>
        <v>2800</v>
      </c>
      <c r="J106" s="43"/>
      <c r="K106" s="43"/>
    </row>
    <row r="107" spans="1:11" x14ac:dyDescent="0.25">
      <c r="A107" s="81">
        <f>'2025'!A109</f>
        <v>106</v>
      </c>
      <c r="B107" s="75">
        <f>'2025'!E108</f>
        <v>0</v>
      </c>
      <c r="C107" s="1">
        <f>'2025'!F108</f>
        <v>0</v>
      </c>
      <c r="D107" s="43"/>
      <c r="E107" s="1" t="str">
        <f>'2025'!G108</f>
        <v>EL ROSAL</v>
      </c>
      <c r="F107" s="67">
        <f>'2025'!I108</f>
        <v>0</v>
      </c>
      <c r="G107" s="67">
        <f>'2025'!B108</f>
        <v>45923</v>
      </c>
      <c r="H107" s="81" t="str">
        <f>'2025'!M108</f>
        <v>FEMENINO</v>
      </c>
      <c r="I107" s="1">
        <f>'2025'!N108</f>
        <v>3400</v>
      </c>
      <c r="J107" s="43"/>
      <c r="K107" s="43"/>
    </row>
    <row r="108" spans="1:11" x14ac:dyDescent="0.25">
      <c r="A108" s="81">
        <f>'2025'!A110</f>
        <v>107</v>
      </c>
      <c r="B108" s="75">
        <f>'2025'!E109</f>
        <v>0</v>
      </c>
      <c r="C108" s="1">
        <f>'2025'!F109</f>
        <v>0</v>
      </c>
      <c r="D108" s="43"/>
      <c r="E108" s="1" t="str">
        <f>'2025'!G109</f>
        <v>CHILLAN VIEJO</v>
      </c>
      <c r="F108" s="67">
        <f>'2025'!I109</f>
        <v>0</v>
      </c>
      <c r="G108" s="67">
        <f>'2025'!B109</f>
        <v>45924</v>
      </c>
      <c r="H108" s="81" t="str">
        <f>'2025'!M109</f>
        <v>MASCULINO</v>
      </c>
      <c r="I108" s="1">
        <f>'2025'!N109</f>
        <v>3050</v>
      </c>
      <c r="J108" s="43"/>
      <c r="K108" s="43"/>
    </row>
    <row r="109" spans="1:11" x14ac:dyDescent="0.25">
      <c r="A109" s="81">
        <f>'2025'!A111</f>
        <v>108</v>
      </c>
      <c r="B109" s="75">
        <f>'2025'!E110</f>
        <v>0</v>
      </c>
      <c r="C109" s="1">
        <f>'2025'!F110</f>
        <v>0</v>
      </c>
      <c r="D109" s="43"/>
      <c r="E109" s="1" t="str">
        <f>'2025'!G110</f>
        <v>CHILLAN</v>
      </c>
      <c r="F109" s="67">
        <f>'2025'!I110</f>
        <v>0</v>
      </c>
      <c r="G109" s="67">
        <f>'2025'!B110</f>
        <v>45924</v>
      </c>
      <c r="H109" s="81" t="str">
        <f>'2025'!M110</f>
        <v>MASCULINO</v>
      </c>
      <c r="I109" s="1">
        <f>'2025'!N110</f>
        <v>3810</v>
      </c>
      <c r="J109" s="43"/>
      <c r="K109" s="43"/>
    </row>
    <row r="110" spans="1:11" x14ac:dyDescent="0.25">
      <c r="A110" s="81">
        <f>'2025'!A112</f>
        <v>109</v>
      </c>
      <c r="B110" s="75">
        <f>'2025'!E111</f>
        <v>0</v>
      </c>
      <c r="C110" s="1">
        <f>'2025'!F111</f>
        <v>0</v>
      </c>
      <c r="D110" s="43"/>
      <c r="E110" s="1" t="str">
        <f>'2025'!G111</f>
        <v>PEMUCO</v>
      </c>
      <c r="F110" s="67">
        <f>'2025'!I111</f>
        <v>0</v>
      </c>
      <c r="G110" s="67">
        <f>'2025'!B111</f>
        <v>45924</v>
      </c>
      <c r="H110" s="81" t="str">
        <f>'2025'!M111</f>
        <v>MASCULINO</v>
      </c>
      <c r="I110" s="1">
        <f>'2025'!N111</f>
        <v>2665</v>
      </c>
      <c r="J110" s="43"/>
      <c r="K110" s="43"/>
    </row>
    <row r="111" spans="1:11" x14ac:dyDescent="0.25">
      <c r="A111" s="81">
        <f>'2025'!A113</f>
        <v>110</v>
      </c>
      <c r="B111" s="75">
        <f>'2025'!E112</f>
        <v>0</v>
      </c>
      <c r="C111" s="1">
        <f>'2025'!F112</f>
        <v>0</v>
      </c>
      <c r="D111" s="43"/>
      <c r="E111" s="1" t="str">
        <f>'2025'!G112</f>
        <v>EL CARMEN</v>
      </c>
      <c r="F111" s="67">
        <f>'2025'!I112</f>
        <v>0</v>
      </c>
      <c r="G111" s="67">
        <f>'2025'!B112</f>
        <v>45924</v>
      </c>
      <c r="H111" s="81" t="str">
        <f>'2025'!M112</f>
        <v>FEMENINO</v>
      </c>
      <c r="I111" s="1">
        <f>'2025'!N112</f>
        <v>4100</v>
      </c>
      <c r="J111" s="43"/>
      <c r="K111" s="43"/>
    </row>
    <row r="112" spans="1:11" x14ac:dyDescent="0.25">
      <c r="A112" s="81">
        <f>'2025'!A114</f>
        <v>111</v>
      </c>
      <c r="B112" s="75">
        <f>'2025'!E113</f>
        <v>0</v>
      </c>
      <c r="C112" s="1">
        <f>'2025'!F113</f>
        <v>0</v>
      </c>
      <c r="D112" s="43"/>
      <c r="E112" s="1" t="str">
        <f>'2025'!G113</f>
        <v>CHILLAN</v>
      </c>
      <c r="F112" s="67">
        <f>'2025'!I113</f>
        <v>0</v>
      </c>
      <c r="G112" s="67">
        <f>'2025'!B113</f>
        <v>45924</v>
      </c>
      <c r="H112" s="81" t="str">
        <f>'2025'!M113</f>
        <v>MASCULINO</v>
      </c>
      <c r="I112" s="1">
        <f>'2025'!N113</f>
        <v>1620</v>
      </c>
      <c r="J112" s="43"/>
      <c r="K112" s="43"/>
    </row>
    <row r="113" spans="1:11" x14ac:dyDescent="0.25">
      <c r="A113" s="81">
        <f>'2025'!A115</f>
        <v>112</v>
      </c>
      <c r="B113" s="75">
        <f>'2025'!E114</f>
        <v>0</v>
      </c>
      <c r="C113" s="1">
        <f>'2025'!F114</f>
        <v>0</v>
      </c>
      <c r="D113" s="43"/>
      <c r="E113" s="1" t="str">
        <f>'2025'!G114</f>
        <v>CHILLAN</v>
      </c>
      <c r="F113" s="67">
        <f>'2025'!I114</f>
        <v>0</v>
      </c>
      <c r="G113" s="67">
        <f>'2025'!B114</f>
        <v>45925</v>
      </c>
      <c r="H113" s="81" t="str">
        <f>'2025'!M114</f>
        <v>MASCULINO</v>
      </c>
      <c r="I113" s="1">
        <f>'2025'!N114</f>
        <v>2795</v>
      </c>
      <c r="J113" s="43"/>
      <c r="K113" s="43"/>
    </row>
    <row r="114" spans="1:11" x14ac:dyDescent="0.25">
      <c r="A114" s="81">
        <f>'2025'!A116</f>
        <v>113</v>
      </c>
      <c r="B114" s="75">
        <f>'2025'!E115</f>
        <v>0</v>
      </c>
      <c r="C114" s="1">
        <f>'2025'!F115</f>
        <v>0</v>
      </c>
      <c r="D114" s="43"/>
      <c r="E114" s="1" t="str">
        <f>'2025'!G115</f>
        <v>SAN IGNACIO</v>
      </c>
      <c r="F114" s="67">
        <f>'2025'!I115</f>
        <v>0</v>
      </c>
      <c r="G114" s="67">
        <f>'2025'!B115</f>
        <v>45925</v>
      </c>
      <c r="H114" s="81" t="str">
        <f>'2025'!M115</f>
        <v>MASCULINO</v>
      </c>
      <c r="I114" s="1">
        <f>'2025'!N115</f>
        <v>3390</v>
      </c>
      <c r="J114" s="43"/>
      <c r="K114" s="43"/>
    </row>
    <row r="115" spans="1:11" x14ac:dyDescent="0.25">
      <c r="A115" s="81">
        <f>'2025'!A117</f>
        <v>114</v>
      </c>
      <c r="B115" s="75">
        <f>'2025'!E116</f>
        <v>0</v>
      </c>
      <c r="C115" s="1">
        <f>'2025'!F116</f>
        <v>0</v>
      </c>
      <c r="D115" s="43"/>
      <c r="E115" s="1" t="str">
        <f>'2025'!G116</f>
        <v>COIHUECO</v>
      </c>
      <c r="F115" s="67">
        <f>'2025'!I116</f>
        <v>0</v>
      </c>
      <c r="G115" s="67">
        <f>'2025'!B116</f>
        <v>45925</v>
      </c>
      <c r="H115" s="81" t="str">
        <f>'2025'!M116</f>
        <v>FEMENINO</v>
      </c>
      <c r="I115" s="1">
        <f>'2025'!N116</f>
        <v>3050</v>
      </c>
      <c r="J115" s="43"/>
      <c r="K115" s="43"/>
    </row>
    <row r="116" spans="1:11" x14ac:dyDescent="0.25">
      <c r="A116" s="81">
        <f>'2025'!A118</f>
        <v>115</v>
      </c>
      <c r="B116" s="75">
        <f>'2025'!E117</f>
        <v>0</v>
      </c>
      <c r="C116" s="1">
        <f>'2025'!F117</f>
        <v>0</v>
      </c>
      <c r="D116" s="43"/>
      <c r="E116" s="1" t="str">
        <f>'2025'!G117</f>
        <v>CHILLAN</v>
      </c>
      <c r="F116" s="67">
        <f>'2025'!I117</f>
        <v>0</v>
      </c>
      <c r="G116" s="67">
        <f>'2025'!B117</f>
        <v>45925</v>
      </c>
      <c r="H116" s="81" t="str">
        <f>'2025'!M117</f>
        <v>MASCULINO</v>
      </c>
      <c r="I116" s="1">
        <f>'2025'!N117</f>
        <v>2920</v>
      </c>
      <c r="J116" s="43"/>
      <c r="K116" s="43"/>
    </row>
    <row r="117" spans="1:11" x14ac:dyDescent="0.25">
      <c r="A117" s="81">
        <f>'2025'!A119</f>
        <v>116</v>
      </c>
      <c r="B117" s="75">
        <f>'2025'!E118</f>
        <v>0</v>
      </c>
      <c r="C117" s="1">
        <f>'2025'!F118</f>
        <v>0</v>
      </c>
      <c r="D117" s="43"/>
      <c r="E117" s="1" t="str">
        <f>'2025'!G118</f>
        <v>COIHUECO</v>
      </c>
      <c r="F117" s="67">
        <f>'2025'!I118</f>
        <v>0</v>
      </c>
      <c r="G117" s="67">
        <f>'2025'!B118</f>
        <v>45925</v>
      </c>
      <c r="H117" s="81" t="str">
        <f>'2025'!M118</f>
        <v>FEMENINO</v>
      </c>
      <c r="I117" s="1">
        <f>'2025'!N118</f>
        <v>3390</v>
      </c>
      <c r="J117" s="43"/>
      <c r="K117" s="43"/>
    </row>
    <row r="118" spans="1:11" x14ac:dyDescent="0.25">
      <c r="A118" s="81">
        <f>'2025'!A120</f>
        <v>117</v>
      </c>
      <c r="B118" s="75">
        <f>'2025'!E119</f>
        <v>0</v>
      </c>
      <c r="C118" s="1">
        <f>'2025'!F119</f>
        <v>0</v>
      </c>
      <c r="D118" s="43"/>
      <c r="E118" s="1" t="str">
        <f>'2025'!G119</f>
        <v>PUEBLO SECO</v>
      </c>
      <c r="F118" s="67">
        <f>'2025'!I119</f>
        <v>0</v>
      </c>
      <c r="G118" s="67">
        <f>'2025'!B119</f>
        <v>45925</v>
      </c>
      <c r="H118" s="81" t="str">
        <f>'2025'!M119</f>
        <v>FEMENINO</v>
      </c>
      <c r="I118" s="1">
        <f>'2025'!N119</f>
        <v>4020</v>
      </c>
      <c r="J118" s="43"/>
      <c r="K118" s="43"/>
    </row>
    <row r="119" spans="1:11" x14ac:dyDescent="0.25">
      <c r="A119" s="81">
        <f>'2025'!A121</f>
        <v>118</v>
      </c>
      <c r="B119" s="75">
        <f>'2025'!E120</f>
        <v>0</v>
      </c>
      <c r="C119" s="1">
        <f>'2025'!F120</f>
        <v>0</v>
      </c>
      <c r="D119" s="43"/>
      <c r="E119" s="1" t="str">
        <f>'2025'!G120</f>
        <v>YUNGAY</v>
      </c>
      <c r="F119" s="67">
        <f>'2025'!I120</f>
        <v>0</v>
      </c>
      <c r="G119" s="67">
        <f>'2025'!B120</f>
        <v>45925</v>
      </c>
      <c r="H119" s="81" t="str">
        <f>'2025'!M120</f>
        <v>MASCULINO</v>
      </c>
      <c r="I119" s="1">
        <f>'2025'!N120</f>
        <v>4330</v>
      </c>
      <c r="J119" s="43"/>
      <c r="K119" s="43"/>
    </row>
    <row r="120" spans="1:11" x14ac:dyDescent="0.25">
      <c r="A120" s="81">
        <f>'2025'!A122</f>
        <v>119</v>
      </c>
      <c r="B120" s="75">
        <f>'2025'!E121</f>
        <v>0</v>
      </c>
      <c r="C120" s="1">
        <f>'2025'!F121</f>
        <v>0</v>
      </c>
      <c r="D120" s="43"/>
      <c r="E120" s="1" t="str">
        <f>'2025'!G121</f>
        <v>CHILLAN</v>
      </c>
      <c r="F120" s="67">
        <f>'2025'!I121</f>
        <v>0</v>
      </c>
      <c r="G120" s="67">
        <f>'2025'!B121</f>
        <v>45926</v>
      </c>
      <c r="H120" s="81" t="str">
        <f>'2025'!M121</f>
        <v>FEMENINO</v>
      </c>
      <c r="I120" s="1">
        <f>'2025'!N121</f>
        <v>3550</v>
      </c>
      <c r="J120" s="43"/>
      <c r="K120" s="43"/>
    </row>
    <row r="121" spans="1:11" x14ac:dyDescent="0.25">
      <c r="A121" s="81">
        <f>'2025'!A123</f>
        <v>120</v>
      </c>
      <c r="B121" s="75">
        <f>'2025'!E122</f>
        <v>0</v>
      </c>
      <c r="C121" s="1">
        <f>'2025'!F122</f>
        <v>0</v>
      </c>
      <c r="D121" s="43"/>
      <c r="E121" s="1" t="str">
        <f>'2025'!G122</f>
        <v>COIHUECO</v>
      </c>
      <c r="F121" s="67">
        <f>'2025'!I122</f>
        <v>0</v>
      </c>
      <c r="G121" s="67">
        <f>'2025'!B122</f>
        <v>45926</v>
      </c>
      <c r="H121" s="81" t="str">
        <f>'2025'!M122</f>
        <v>FEMENINO</v>
      </c>
      <c r="I121" s="1">
        <f>'2025'!N122</f>
        <v>4005</v>
      </c>
      <c r="J121" s="43"/>
      <c r="K121" s="43"/>
    </row>
    <row r="122" spans="1:11" x14ac:dyDescent="0.25">
      <c r="A122" s="81">
        <f>'2025'!A124</f>
        <v>121</v>
      </c>
      <c r="B122" s="75">
        <f>'2025'!E123</f>
        <v>0</v>
      </c>
      <c r="C122" s="1">
        <f>'2025'!F123</f>
        <v>0</v>
      </c>
      <c r="D122" s="43"/>
      <c r="E122" s="1" t="str">
        <f>'2025'!G123</f>
        <v>CHILLAN</v>
      </c>
      <c r="F122" s="67">
        <f>'2025'!I123</f>
        <v>0</v>
      </c>
      <c r="G122" s="67">
        <f>'2025'!B123</f>
        <v>45927</v>
      </c>
      <c r="H122" s="81" t="str">
        <f>'2025'!M123</f>
        <v>MASCULINO</v>
      </c>
      <c r="I122" s="1">
        <f>'2025'!N123</f>
        <v>950</v>
      </c>
      <c r="J122" s="43"/>
      <c r="K122" s="43"/>
    </row>
    <row r="123" spans="1:11" x14ac:dyDescent="0.25">
      <c r="A123" s="81">
        <f>'2025'!A125</f>
        <v>122</v>
      </c>
      <c r="B123" s="75">
        <f>'2025'!E124</f>
        <v>0</v>
      </c>
      <c r="C123" s="1">
        <f>'2025'!F124</f>
        <v>0</v>
      </c>
      <c r="D123" s="43"/>
      <c r="E123" s="1" t="str">
        <f>'2025'!G124</f>
        <v>CHILLAN</v>
      </c>
      <c r="F123" s="67">
        <f>'2025'!I124</f>
        <v>0</v>
      </c>
      <c r="G123" s="67">
        <f>'2025'!B124</f>
        <v>45927</v>
      </c>
      <c r="H123" s="81" t="str">
        <f>'2025'!M124</f>
        <v>FEMENINO</v>
      </c>
      <c r="I123" s="1">
        <f>'2025'!N124</f>
        <v>3310</v>
      </c>
      <c r="J123" s="43"/>
      <c r="K123" s="43"/>
    </row>
    <row r="124" spans="1:11" x14ac:dyDescent="0.25">
      <c r="A124" s="81">
        <f>'2025'!A126</f>
        <v>123</v>
      </c>
      <c r="B124" s="75">
        <f>'2025'!E125</f>
        <v>0</v>
      </c>
      <c r="C124" s="1">
        <f>'2025'!F125</f>
        <v>0</v>
      </c>
      <c r="D124" s="43"/>
      <c r="E124" s="1" t="str">
        <f>'2025'!G125</f>
        <v>HUALPEN</v>
      </c>
      <c r="F124" s="67">
        <f>'2025'!I125</f>
        <v>0</v>
      </c>
      <c r="G124" s="67">
        <f>'2025'!B125</f>
        <v>45927</v>
      </c>
      <c r="H124" s="81" t="str">
        <f>'2025'!M125</f>
        <v>FEMENINO</v>
      </c>
      <c r="I124" s="1">
        <f>'2025'!N125</f>
        <v>3860</v>
      </c>
      <c r="J124" s="43"/>
      <c r="K124" s="43"/>
    </row>
    <row r="125" spans="1:11" x14ac:dyDescent="0.25">
      <c r="A125" s="81">
        <f>'2025'!A127</f>
        <v>124</v>
      </c>
      <c r="B125" s="75">
        <f>'2025'!E126</f>
        <v>0</v>
      </c>
      <c r="C125" s="1">
        <f>'2025'!F126</f>
        <v>0</v>
      </c>
      <c r="D125" s="43"/>
      <c r="E125" s="1" t="str">
        <f>'2025'!G126</f>
        <v>PINTO</v>
      </c>
      <c r="F125" s="67">
        <f>'2025'!I126</f>
        <v>0</v>
      </c>
      <c r="G125" s="67">
        <f>'2025'!B126</f>
        <v>45928</v>
      </c>
      <c r="H125" s="81" t="str">
        <f>'2025'!M126</f>
        <v>FEMENINO</v>
      </c>
      <c r="I125" s="1">
        <f>'2025'!N126</f>
        <v>2450</v>
      </c>
      <c r="J125" s="43"/>
      <c r="K125" s="43"/>
    </row>
    <row r="126" spans="1:11" x14ac:dyDescent="0.25">
      <c r="A126" s="81">
        <f>'2025'!A128</f>
        <v>125</v>
      </c>
      <c r="B126" s="75">
        <f>'2025'!E127</f>
        <v>0</v>
      </c>
      <c r="C126" s="1">
        <f>'2025'!F127</f>
        <v>0</v>
      </c>
      <c r="D126" s="43"/>
      <c r="E126" s="1" t="str">
        <f>'2025'!G127</f>
        <v>COIHUECO</v>
      </c>
      <c r="F126" s="67">
        <f>'2025'!I127</f>
        <v>0</v>
      </c>
      <c r="G126" s="67">
        <f>'2025'!B127</f>
        <v>45928</v>
      </c>
      <c r="H126" s="81" t="str">
        <f>'2025'!M127</f>
        <v>MASCULINO</v>
      </c>
      <c r="I126" s="1">
        <f>'2025'!N127</f>
        <v>3350</v>
      </c>
      <c r="J126" s="43"/>
      <c r="K126" s="43"/>
    </row>
    <row r="127" spans="1:11" x14ac:dyDescent="0.25">
      <c r="A127" s="81">
        <f>'2025'!A129</f>
        <v>126</v>
      </c>
      <c r="B127" s="75">
        <f>'2025'!E128</f>
        <v>0</v>
      </c>
      <c r="C127" s="1">
        <f>'2025'!F128</f>
        <v>0</v>
      </c>
      <c r="D127" s="43"/>
      <c r="E127" s="1" t="str">
        <f>'2025'!G128</f>
        <v>COELEMU</v>
      </c>
      <c r="F127" s="67">
        <f>'2025'!I128</f>
        <v>0</v>
      </c>
      <c r="G127" s="67">
        <f>'2025'!B128</f>
        <v>45928</v>
      </c>
      <c r="H127" s="81" t="str">
        <f>'2025'!M128</f>
        <v>FEMENINO</v>
      </c>
      <c r="I127" s="1">
        <f>'2025'!N128</f>
        <v>3390</v>
      </c>
      <c r="J127" s="43"/>
      <c r="K127" s="43"/>
    </row>
    <row r="128" spans="1:11" x14ac:dyDescent="0.25">
      <c r="A128" s="81">
        <f>'2025'!A130</f>
        <v>127</v>
      </c>
      <c r="B128" s="75">
        <f>'2025'!E129</f>
        <v>0</v>
      </c>
      <c r="C128" s="1">
        <f>'2025'!F129</f>
        <v>0</v>
      </c>
      <c r="D128" s="43"/>
      <c r="E128" s="1" t="str">
        <f>'2025'!G129</f>
        <v>CHILLAN</v>
      </c>
      <c r="F128" s="67">
        <f>'2025'!I129</f>
        <v>0</v>
      </c>
      <c r="G128" s="67">
        <f>'2025'!B129</f>
        <v>45928</v>
      </c>
      <c r="H128" s="81" t="str">
        <f>'2025'!M129</f>
        <v>MASCULINO</v>
      </c>
      <c r="I128" s="1">
        <f>'2025'!N129</f>
        <v>2360</v>
      </c>
      <c r="J128" s="43"/>
      <c r="K128" s="43"/>
    </row>
    <row r="129" spans="1:11" x14ac:dyDescent="0.25">
      <c r="A129" s="81">
        <f>'2025'!A131</f>
        <v>128</v>
      </c>
      <c r="B129" s="75">
        <f>'2025'!E130</f>
        <v>0</v>
      </c>
      <c r="C129" s="1">
        <f>'2025'!F130</f>
        <v>0</v>
      </c>
      <c r="D129" s="43"/>
      <c r="E129" s="1" t="str">
        <f>'2025'!G130</f>
        <v>BULNES</v>
      </c>
      <c r="F129" s="67">
        <f>'2025'!I130</f>
        <v>0</v>
      </c>
      <c r="G129" s="67">
        <f>'2025'!B130</f>
        <v>45928</v>
      </c>
      <c r="H129" s="81" t="str">
        <f>'2025'!M130</f>
        <v>MASCULINO</v>
      </c>
      <c r="I129" s="1">
        <f>'2025'!N130</f>
        <v>1310</v>
      </c>
      <c r="J129" s="43"/>
      <c r="K129" s="43"/>
    </row>
    <row r="130" spans="1:11" x14ac:dyDescent="0.25">
      <c r="A130" s="81">
        <f>'2025'!A132</f>
        <v>129</v>
      </c>
      <c r="B130" s="75">
        <f>'2025'!E131</f>
        <v>0</v>
      </c>
      <c r="C130" s="1">
        <f>'2025'!F131</f>
        <v>0</v>
      </c>
      <c r="D130" s="43"/>
      <c r="E130" s="1" t="str">
        <f>'2025'!G131</f>
        <v>CHILLAN VIEJO</v>
      </c>
      <c r="F130" s="67">
        <f>'2025'!I131</f>
        <v>0</v>
      </c>
      <c r="G130" s="67">
        <f>'2025'!B131</f>
        <v>45928</v>
      </c>
      <c r="H130" s="81" t="str">
        <f>'2025'!M131</f>
        <v>MASCULINO</v>
      </c>
      <c r="I130" s="1">
        <f>'2025'!N131</f>
        <v>3190</v>
      </c>
      <c r="J130" s="43"/>
      <c r="K130" s="43"/>
    </row>
    <row r="131" spans="1:11" x14ac:dyDescent="0.25">
      <c r="A131" s="81">
        <f>'2025'!A133</f>
        <v>130</v>
      </c>
      <c r="B131" s="75">
        <f>'2025'!E132</f>
        <v>0</v>
      </c>
      <c r="C131" s="1">
        <f>'2025'!F132</f>
        <v>0</v>
      </c>
      <c r="D131" s="43"/>
      <c r="E131" s="1" t="str">
        <f>'2025'!G132</f>
        <v>COIHUECO</v>
      </c>
      <c r="F131" s="67">
        <f>'2025'!I132</f>
        <v>0</v>
      </c>
      <c r="G131" s="67">
        <f>'2025'!B132</f>
        <v>45929</v>
      </c>
      <c r="H131" s="81" t="str">
        <f>'2025'!M132</f>
        <v>MASCULINO</v>
      </c>
      <c r="I131" s="1">
        <f>'2025'!N132</f>
        <v>2010</v>
      </c>
      <c r="J131" s="43"/>
      <c r="K131" s="43"/>
    </row>
    <row r="132" spans="1:11" x14ac:dyDescent="0.25">
      <c r="A132" s="81">
        <f>'2025'!A134</f>
        <v>131</v>
      </c>
      <c r="B132" s="75">
        <f>'2025'!E133</f>
        <v>0</v>
      </c>
      <c r="C132" s="1">
        <f>'2025'!F133</f>
        <v>0</v>
      </c>
      <c r="D132" s="43"/>
      <c r="E132" s="1" t="str">
        <f>'2025'!G133</f>
        <v>CHILLAN</v>
      </c>
      <c r="F132" s="67">
        <f>'2025'!I133</f>
        <v>0</v>
      </c>
      <c r="G132" s="67">
        <f>'2025'!B133</f>
        <v>45929</v>
      </c>
      <c r="H132" s="81" t="str">
        <f>'2025'!M133</f>
        <v>FEMENINO</v>
      </c>
      <c r="I132" s="1">
        <f>'2025'!N133</f>
        <v>3290</v>
      </c>
      <c r="J132" s="43"/>
      <c r="K132" s="43"/>
    </row>
    <row r="133" spans="1:11" x14ac:dyDescent="0.25">
      <c r="A133" s="81">
        <f>'2025'!A135</f>
        <v>132</v>
      </c>
      <c r="B133" s="75">
        <f>'2025'!E134</f>
        <v>0</v>
      </c>
      <c r="C133" s="1">
        <f>'2025'!F134</f>
        <v>0</v>
      </c>
      <c r="D133" s="43"/>
      <c r="E133" s="1" t="str">
        <f>'2025'!G134</f>
        <v>YUNGAY</v>
      </c>
      <c r="F133" s="67">
        <f>'2025'!I134</f>
        <v>0</v>
      </c>
      <c r="G133" s="67">
        <f>'2025'!B134</f>
        <v>45929</v>
      </c>
      <c r="H133" s="81" t="str">
        <f>'2025'!M134</f>
        <v>FEMENINO</v>
      </c>
      <c r="I133" s="1">
        <f>'2025'!N134</f>
        <v>2241</v>
      </c>
      <c r="J133" s="43"/>
      <c r="K133" s="43"/>
    </row>
    <row r="134" spans="1:11" x14ac:dyDescent="0.25">
      <c r="A134" s="81">
        <f>'2025'!A136</f>
        <v>133</v>
      </c>
      <c r="B134" s="75">
        <f>'2025'!E135</f>
        <v>0</v>
      </c>
      <c r="C134" s="1">
        <f>'2025'!F135</f>
        <v>0</v>
      </c>
      <c r="D134" s="43"/>
      <c r="E134" s="1">
        <f>'2025'!G135</f>
        <v>0</v>
      </c>
      <c r="F134" s="67">
        <f>'2025'!I135</f>
        <v>0</v>
      </c>
      <c r="G134" s="67">
        <f>'2025'!B135</f>
        <v>0</v>
      </c>
      <c r="H134" s="81" t="str">
        <f>'2025'!M135</f>
        <v>MASCULINO</v>
      </c>
      <c r="I134" s="1">
        <f>'2025'!N135</f>
        <v>3070</v>
      </c>
      <c r="J134" s="43"/>
      <c r="K134" s="43"/>
    </row>
    <row r="135" spans="1:11" x14ac:dyDescent="0.25">
      <c r="A135" s="81">
        <f>'2025'!A137</f>
        <v>134</v>
      </c>
      <c r="B135" s="75">
        <f>'2025'!E136</f>
        <v>0</v>
      </c>
      <c r="C135" s="1">
        <f>'2025'!F136</f>
        <v>0</v>
      </c>
      <c r="D135" s="43"/>
      <c r="E135" s="1" t="str">
        <f>'2025'!G136</f>
        <v>CHILLAN</v>
      </c>
      <c r="F135" s="67">
        <f>'2025'!I136</f>
        <v>0</v>
      </c>
      <c r="G135" s="67">
        <f>'2025'!B136</f>
        <v>45929</v>
      </c>
      <c r="H135" s="81" t="str">
        <f>'2025'!M136</f>
        <v>FEMENINO</v>
      </c>
      <c r="I135" s="1">
        <f>'2025'!N136</f>
        <v>2660</v>
      </c>
      <c r="J135" s="43"/>
      <c r="K135" s="43"/>
    </row>
    <row r="136" spans="1:11" x14ac:dyDescent="0.25">
      <c r="A136" s="81">
        <f>'2025'!A138</f>
        <v>135</v>
      </c>
      <c r="B136" s="75">
        <f>'2025'!E137</f>
        <v>0</v>
      </c>
      <c r="C136" s="1">
        <f>'2025'!F137</f>
        <v>0</v>
      </c>
      <c r="D136" s="43"/>
      <c r="E136" s="1" t="str">
        <f>'2025'!G137</f>
        <v>CHILLAN</v>
      </c>
      <c r="F136" s="67">
        <f>'2025'!I137</f>
        <v>0</v>
      </c>
      <c r="G136" s="67">
        <f>'2025'!B137</f>
        <v>45929</v>
      </c>
      <c r="H136" s="81" t="str">
        <f>'2025'!M137</f>
        <v>FEMENINO</v>
      </c>
      <c r="I136" s="1">
        <f>'2025'!N137</f>
        <v>2920</v>
      </c>
      <c r="J136" s="43"/>
      <c r="K136" s="43"/>
    </row>
    <row r="137" spans="1:11" x14ac:dyDescent="0.25">
      <c r="A137" s="81">
        <f>'2025'!A139</f>
        <v>136</v>
      </c>
      <c r="B137" s="75">
        <f>'2025'!E138</f>
        <v>0</v>
      </c>
      <c r="C137" s="1">
        <f>'2025'!F138</f>
        <v>0</v>
      </c>
      <c r="D137" s="43"/>
      <c r="E137" s="1" t="str">
        <f>'2025'!G138</f>
        <v>QUILLON</v>
      </c>
      <c r="F137" s="67">
        <f>'2025'!I138</f>
        <v>0</v>
      </c>
      <c r="G137" s="67">
        <f>'2025'!B138</f>
        <v>45929</v>
      </c>
      <c r="H137" s="81" t="str">
        <f>'2025'!M138</f>
        <v>MASCULINO</v>
      </c>
      <c r="I137" s="1">
        <f>'2025'!N138</f>
        <v>3290</v>
      </c>
      <c r="J137" s="43"/>
      <c r="K137" s="43"/>
    </row>
    <row r="138" spans="1:11" x14ac:dyDescent="0.25">
      <c r="A138" s="81">
        <f>'2025'!A140</f>
        <v>137</v>
      </c>
      <c r="B138" s="75">
        <f>'2025'!E139</f>
        <v>0</v>
      </c>
      <c r="C138" s="1">
        <f>'2025'!F139</f>
        <v>0</v>
      </c>
      <c r="D138" s="43"/>
      <c r="E138" s="1" t="str">
        <f>'2025'!G139</f>
        <v>CHILLAN</v>
      </c>
      <c r="F138" s="67">
        <f>'2025'!I139</f>
        <v>0</v>
      </c>
      <c r="G138" s="67">
        <f>'2025'!B139</f>
        <v>45929</v>
      </c>
      <c r="H138" s="81" t="str">
        <f>'2025'!M139</f>
        <v>FEMENINO</v>
      </c>
      <c r="I138" s="1">
        <f>'2025'!N139</f>
        <v>2090</v>
      </c>
      <c r="J138" s="43"/>
      <c r="K138" s="43"/>
    </row>
    <row r="139" spans="1:11" x14ac:dyDescent="0.25">
      <c r="A139" s="81">
        <f>'2025'!A141</f>
        <v>138</v>
      </c>
      <c r="B139" s="75">
        <f>'2025'!E140</f>
        <v>0</v>
      </c>
      <c r="C139" s="1">
        <f>'2025'!F140</f>
        <v>0</v>
      </c>
      <c r="D139" s="43"/>
      <c r="E139" s="1" t="str">
        <f>'2025'!G140</f>
        <v>CHILLAN</v>
      </c>
      <c r="F139" s="67">
        <f>'2025'!I140</f>
        <v>0</v>
      </c>
      <c r="G139" s="67">
        <f>'2025'!B140</f>
        <v>45929</v>
      </c>
      <c r="H139" s="81" t="str">
        <f>'2025'!M140</f>
        <v>FEMENINO</v>
      </c>
      <c r="I139" s="1">
        <f>'2025'!N140</f>
        <v>2650</v>
      </c>
      <c r="J139" s="43"/>
      <c r="K139" s="43"/>
    </row>
    <row r="140" spans="1:11" x14ac:dyDescent="0.25">
      <c r="A140" s="81">
        <f>'2025'!A142</f>
        <v>139</v>
      </c>
      <c r="B140" s="75">
        <f>'2025'!E141</f>
        <v>0</v>
      </c>
      <c r="C140" s="1">
        <f>'2025'!F141</f>
        <v>0</v>
      </c>
      <c r="D140" s="43"/>
      <c r="E140" s="1" t="str">
        <f>'2025'!G141</f>
        <v>QUILLON</v>
      </c>
      <c r="F140" s="67">
        <f>'2025'!I141</f>
        <v>0</v>
      </c>
      <c r="G140" s="67">
        <f>'2025'!B141</f>
        <v>45930</v>
      </c>
      <c r="H140" s="81" t="str">
        <f>'2025'!M141</f>
        <v>MASCULINO</v>
      </c>
      <c r="I140" s="1">
        <f>'2025'!N141</f>
        <v>3190</v>
      </c>
      <c r="J140" s="43"/>
      <c r="K140" s="43"/>
    </row>
    <row r="141" spans="1:11" x14ac:dyDescent="0.25">
      <c r="A141" s="81">
        <f>'2025'!A143</f>
        <v>140</v>
      </c>
      <c r="B141" s="75">
        <f>'2025'!E142</f>
        <v>0</v>
      </c>
      <c r="C141" s="1">
        <f>'2025'!F142</f>
        <v>0</v>
      </c>
      <c r="D141" s="43"/>
      <c r="E141" s="1" t="str">
        <f>'2025'!G142</f>
        <v>QUINCHAMALI</v>
      </c>
      <c r="F141" s="67">
        <f>'2025'!I142</f>
        <v>0</v>
      </c>
      <c r="G141" s="67">
        <f>'2025'!B142</f>
        <v>45930</v>
      </c>
      <c r="H141" s="81" t="str">
        <f>'2025'!M142</f>
        <v>MASCULINO</v>
      </c>
      <c r="I141" s="1">
        <f>'2025'!N142</f>
        <v>3930</v>
      </c>
      <c r="J141" s="43"/>
      <c r="K141" s="43"/>
    </row>
    <row r="142" spans="1:11" x14ac:dyDescent="0.25">
      <c r="A142" s="81">
        <f>'2025'!A144</f>
        <v>141</v>
      </c>
      <c r="B142" s="75">
        <f>'2025'!E143</f>
        <v>0</v>
      </c>
      <c r="C142" s="1">
        <f>'2025'!F143</f>
        <v>0</v>
      </c>
      <c r="D142" s="43"/>
      <c r="E142" s="1" t="str">
        <f>'2025'!G143</f>
        <v>CHILLAN</v>
      </c>
      <c r="F142" s="67">
        <f>'2025'!I143</f>
        <v>0</v>
      </c>
      <c r="G142" s="67">
        <f>'2025'!B143</f>
        <v>45930</v>
      </c>
      <c r="H142" s="81" t="str">
        <f>'2025'!M143</f>
        <v>MASCULINO</v>
      </c>
      <c r="I142" s="1">
        <f>'2025'!N143</f>
        <v>3140</v>
      </c>
      <c r="J142" s="43"/>
      <c r="K142" s="43"/>
    </row>
    <row r="143" spans="1:11" x14ac:dyDescent="0.25">
      <c r="A143" s="81">
        <f>'2025'!A145</f>
        <v>142</v>
      </c>
      <c r="B143" s="75">
        <f>'2025'!E144</f>
        <v>0</v>
      </c>
      <c r="C143" s="1">
        <f>'2025'!F144</f>
        <v>0</v>
      </c>
      <c r="D143" s="43"/>
      <c r="E143" s="1" t="str">
        <f>'2025'!G144</f>
        <v>PUEBLO SECO</v>
      </c>
      <c r="F143" s="67">
        <f>'2025'!I144</f>
        <v>0</v>
      </c>
      <c r="G143" s="67">
        <f>'2025'!B144</f>
        <v>45930</v>
      </c>
      <c r="H143" s="81" t="str">
        <f>'2025'!M144</f>
        <v>MASCULINO</v>
      </c>
      <c r="I143" s="1">
        <f>'2025'!N144</f>
        <v>3670</v>
      </c>
      <c r="J143" s="43"/>
      <c r="K143" s="43"/>
    </row>
    <row r="144" spans="1:11" x14ac:dyDescent="0.25">
      <c r="A144" s="81">
        <f>'2025'!A146</f>
        <v>143</v>
      </c>
      <c r="B144" s="75">
        <f>'2025'!E145</f>
        <v>0</v>
      </c>
      <c r="C144" s="1">
        <f>'2025'!F145</f>
        <v>0</v>
      </c>
      <c r="D144" s="43"/>
      <c r="E144" s="1" t="str">
        <f>'2025'!G145</f>
        <v>CHILLAN</v>
      </c>
      <c r="F144" s="67">
        <f>'2025'!I145</f>
        <v>0</v>
      </c>
      <c r="G144" s="67">
        <f>'2025'!B145</f>
        <v>45930</v>
      </c>
      <c r="H144" s="81" t="str">
        <f>'2025'!M145</f>
        <v>MASCULINO</v>
      </c>
      <c r="I144" s="1">
        <f>'2025'!N145</f>
        <v>3470</v>
      </c>
      <c r="J144" s="43"/>
      <c r="K144" s="43"/>
    </row>
    <row r="145" spans="1:11" x14ac:dyDescent="0.25">
      <c r="A145" s="81">
        <f>'2025'!A147</f>
        <v>152</v>
      </c>
      <c r="B145" s="75">
        <f>'2025'!E146</f>
        <v>0</v>
      </c>
      <c r="C145" s="1">
        <f>'2025'!F146</f>
        <v>0</v>
      </c>
      <c r="D145" s="43"/>
      <c r="E145" s="1" t="str">
        <f>'2025'!G146</f>
        <v>CHILLAN</v>
      </c>
      <c r="F145" s="67">
        <f>'2025'!I146</f>
        <v>0</v>
      </c>
      <c r="G145" s="67">
        <f>'2025'!B146</f>
        <v>45930</v>
      </c>
      <c r="H145" s="81" t="str">
        <f>'2025'!M146</f>
        <v>MASCULINO</v>
      </c>
      <c r="I145" s="1">
        <f>'2025'!N146</f>
        <v>2190</v>
      </c>
      <c r="J145" s="43"/>
      <c r="K145" s="43"/>
    </row>
    <row r="146" spans="1:11" x14ac:dyDescent="0.25">
      <c r="A146" s="81">
        <f>'2025'!A148</f>
        <v>153</v>
      </c>
      <c r="B146" s="75">
        <f>'2025'!E147</f>
        <v>0</v>
      </c>
      <c r="C146" s="1">
        <f>'2025'!F147</f>
        <v>0</v>
      </c>
      <c r="D146" s="43"/>
      <c r="E146" s="1">
        <f>'2025'!G147</f>
        <v>0</v>
      </c>
      <c r="F146" s="67">
        <f>'2025'!I147</f>
        <v>0</v>
      </c>
      <c r="G146" s="67">
        <f>'2025'!B147</f>
        <v>0</v>
      </c>
      <c r="H146" s="81">
        <f>'2025'!M147</f>
        <v>0</v>
      </c>
      <c r="I146" s="1">
        <f>'2025'!N147</f>
        <v>0</v>
      </c>
      <c r="J146" s="43"/>
      <c r="K146" s="43"/>
    </row>
    <row r="147" spans="1:11" x14ac:dyDescent="0.25">
      <c r="A147" s="81" t="e">
        <f>'2025'!#REF!</f>
        <v>#REF!</v>
      </c>
      <c r="B147" s="75">
        <f>'2025'!E148</f>
        <v>0</v>
      </c>
      <c r="C147" s="1">
        <f>'2025'!F148</f>
        <v>0</v>
      </c>
      <c r="D147" s="43"/>
      <c r="E147" s="1">
        <f>'2025'!G148</f>
        <v>0</v>
      </c>
      <c r="F147" s="67">
        <f>'2025'!I148</f>
        <v>0</v>
      </c>
      <c r="G147" s="67">
        <f>'2025'!B148</f>
        <v>0</v>
      </c>
      <c r="H147" s="81">
        <f>'2025'!M148</f>
        <v>0</v>
      </c>
      <c r="I147" s="1">
        <f>'2025'!N148</f>
        <v>0</v>
      </c>
      <c r="J147" s="43"/>
      <c r="K147" s="43"/>
    </row>
    <row r="148" spans="1:11" x14ac:dyDescent="0.25">
      <c r="A148" s="81" t="e">
        <f>'2025'!#REF!</f>
        <v>#REF!</v>
      </c>
      <c r="B148" s="75" t="e">
        <f>'2025'!#REF!</f>
        <v>#REF!</v>
      </c>
      <c r="C148" s="1" t="e">
        <f>'2025'!#REF!</f>
        <v>#REF!</v>
      </c>
      <c r="D148" s="43"/>
      <c r="E148" s="1" t="e">
        <f>'2025'!#REF!</f>
        <v>#REF!</v>
      </c>
      <c r="F148" s="67" t="e">
        <f>'2025'!#REF!</f>
        <v>#REF!</v>
      </c>
      <c r="G148" s="67" t="e">
        <f>'2025'!#REF!</f>
        <v>#REF!</v>
      </c>
      <c r="H148" s="81" t="e">
        <f>'2025'!#REF!</f>
        <v>#REF!</v>
      </c>
      <c r="I148" s="1" t="e">
        <f>'2025'!#REF!</f>
        <v>#REF!</v>
      </c>
      <c r="J148" s="43"/>
      <c r="K148" s="43"/>
    </row>
    <row r="149" spans="1:11" x14ac:dyDescent="0.25">
      <c r="A149" s="81">
        <f>'2025'!A149</f>
        <v>154</v>
      </c>
      <c r="B149" s="75" t="e">
        <f>'2025'!#REF!</f>
        <v>#REF!</v>
      </c>
      <c r="C149" s="1" t="e">
        <f>'2025'!#REF!</f>
        <v>#REF!</v>
      </c>
      <c r="D149" s="43"/>
      <c r="E149" s="1" t="e">
        <f>'2025'!#REF!</f>
        <v>#REF!</v>
      </c>
      <c r="F149" s="67" t="e">
        <f>'2025'!#REF!</f>
        <v>#REF!</v>
      </c>
      <c r="G149" s="67" t="e">
        <f>'2025'!#REF!</f>
        <v>#REF!</v>
      </c>
      <c r="H149" s="81" t="e">
        <f>'2025'!#REF!</f>
        <v>#REF!</v>
      </c>
      <c r="I149" s="1" t="e">
        <f>'2025'!#REF!</f>
        <v>#REF!</v>
      </c>
      <c r="J149" s="43"/>
      <c r="K149" s="43"/>
    </row>
    <row r="150" spans="1:11" x14ac:dyDescent="0.25">
      <c r="A150" s="81">
        <f>'2025'!A150</f>
        <v>155</v>
      </c>
      <c r="B150" s="75">
        <f>'2025'!E149</f>
        <v>0</v>
      </c>
      <c r="C150" s="1">
        <f>'2025'!F149</f>
        <v>0</v>
      </c>
      <c r="D150" s="43"/>
      <c r="E150" s="1">
        <f>'2025'!G149</f>
        <v>0</v>
      </c>
      <c r="F150" s="67">
        <f>'2025'!I149</f>
        <v>0</v>
      </c>
      <c r="G150" s="67">
        <f>'2025'!B149</f>
        <v>0</v>
      </c>
      <c r="H150" s="81">
        <f>'2025'!M149</f>
        <v>0</v>
      </c>
      <c r="I150" s="1">
        <f>'2025'!N149</f>
        <v>0</v>
      </c>
      <c r="J150" s="43"/>
      <c r="K150" s="43"/>
    </row>
    <row r="151" spans="1:11" x14ac:dyDescent="0.25">
      <c r="A151" s="81">
        <f>'2025'!A151</f>
        <v>156</v>
      </c>
      <c r="B151" s="75">
        <f>'2025'!E150</f>
        <v>0</v>
      </c>
      <c r="C151" s="1">
        <f>'2025'!F150</f>
        <v>0</v>
      </c>
      <c r="D151" s="43"/>
      <c r="E151" s="1">
        <f>'2025'!G150</f>
        <v>0</v>
      </c>
      <c r="F151" s="67">
        <f>'2025'!I150</f>
        <v>0</v>
      </c>
      <c r="G151" s="67">
        <f>'2025'!B150</f>
        <v>0</v>
      </c>
      <c r="H151" s="81">
        <f>'2025'!M150</f>
        <v>0</v>
      </c>
      <c r="I151" s="1">
        <f>'2025'!N150</f>
        <v>0</v>
      </c>
      <c r="J151" s="43"/>
      <c r="K151" s="43"/>
    </row>
    <row r="152" spans="1:11" x14ac:dyDescent="0.25">
      <c r="A152" s="81">
        <f>'2025'!A152</f>
        <v>157</v>
      </c>
      <c r="B152" s="75">
        <f>'2025'!E151</f>
        <v>0</v>
      </c>
      <c r="C152" s="1">
        <f>'2025'!F151</f>
        <v>0</v>
      </c>
      <c r="D152" s="43" t="s">
        <v>115</v>
      </c>
      <c r="E152" s="1">
        <f>'2025'!G151</f>
        <v>0</v>
      </c>
      <c r="F152" s="67">
        <f>'2025'!I151</f>
        <v>0</v>
      </c>
      <c r="G152" s="67">
        <f>'2025'!B151</f>
        <v>0</v>
      </c>
      <c r="H152" s="81">
        <f>'2025'!M151</f>
        <v>0</v>
      </c>
      <c r="I152" s="1">
        <f>'2025'!N151</f>
        <v>0</v>
      </c>
      <c r="J152" s="43"/>
      <c r="K152" s="43"/>
    </row>
    <row r="153" spans="1:11" x14ac:dyDescent="0.25">
      <c r="A153" s="81">
        <f>'2025'!A153</f>
        <v>158</v>
      </c>
      <c r="B153" s="75">
        <f>'2025'!E152</f>
        <v>0</v>
      </c>
      <c r="C153" s="1">
        <f>'2025'!F152</f>
        <v>0</v>
      </c>
      <c r="D153" s="43"/>
      <c r="E153" s="1">
        <f>'2025'!G152</f>
        <v>0</v>
      </c>
      <c r="F153" s="67">
        <f>'2025'!I152</f>
        <v>0</v>
      </c>
      <c r="G153" s="67">
        <f>'2025'!B152</f>
        <v>0</v>
      </c>
      <c r="H153" s="81">
        <f>'2025'!M152</f>
        <v>0</v>
      </c>
      <c r="I153" s="1">
        <f>'2025'!N152</f>
        <v>0</v>
      </c>
      <c r="J153" s="43"/>
      <c r="K153" s="43"/>
    </row>
    <row r="154" spans="1:11" x14ac:dyDescent="0.25">
      <c r="A154" s="81">
        <f>'2025'!A154</f>
        <v>159</v>
      </c>
      <c r="B154" s="75">
        <f>'2025'!E153</f>
        <v>0</v>
      </c>
      <c r="C154" s="1">
        <f>'2025'!F153</f>
        <v>0</v>
      </c>
      <c r="D154" s="43" t="s">
        <v>115</v>
      </c>
      <c r="E154" s="1">
        <f>'2025'!G153</f>
        <v>0</v>
      </c>
      <c r="F154" s="67">
        <f>'2025'!I153</f>
        <v>0</v>
      </c>
      <c r="G154" s="67">
        <f>'2025'!B153</f>
        <v>0</v>
      </c>
      <c r="H154" s="81">
        <f>'2025'!M153</f>
        <v>0</v>
      </c>
      <c r="I154" s="1">
        <f>'2025'!N153</f>
        <v>0</v>
      </c>
      <c r="J154" s="43"/>
      <c r="K154" s="43"/>
    </row>
    <row r="155" spans="1:11" x14ac:dyDescent="0.25">
      <c r="A155" s="81">
        <f>'2025'!A155</f>
        <v>160</v>
      </c>
      <c r="B155" s="75">
        <f>'2025'!E154</f>
        <v>0</v>
      </c>
      <c r="C155" s="1">
        <f>'2025'!F154</f>
        <v>0</v>
      </c>
      <c r="D155" s="43" t="s">
        <v>115</v>
      </c>
      <c r="E155" s="1">
        <f>'2025'!G154</f>
        <v>0</v>
      </c>
      <c r="F155" s="67">
        <f>'2025'!I154</f>
        <v>0</v>
      </c>
      <c r="G155" s="67">
        <f>'2025'!B154</f>
        <v>0</v>
      </c>
      <c r="H155" s="81">
        <f>'2025'!M154</f>
        <v>0</v>
      </c>
      <c r="I155" s="1">
        <f>'2025'!N154</f>
        <v>0</v>
      </c>
      <c r="J155" s="43"/>
      <c r="K155" s="43"/>
    </row>
    <row r="156" spans="1:11" x14ac:dyDescent="0.25">
      <c r="A156" s="81">
        <f>'2025'!A156</f>
        <v>161</v>
      </c>
      <c r="B156" s="75">
        <f>'2025'!E155</f>
        <v>0</v>
      </c>
      <c r="C156" s="1">
        <f>'2025'!F155</f>
        <v>0</v>
      </c>
      <c r="D156" s="43" t="s">
        <v>115</v>
      </c>
      <c r="E156" s="1">
        <f>'2025'!G155</f>
        <v>0</v>
      </c>
      <c r="F156" s="67">
        <f>'2025'!I155</f>
        <v>0</v>
      </c>
      <c r="G156" s="67">
        <f>'2025'!B155</f>
        <v>0</v>
      </c>
      <c r="H156" s="81">
        <f>'2025'!M155</f>
        <v>0</v>
      </c>
      <c r="I156" s="1">
        <f>'2025'!N155</f>
        <v>0</v>
      </c>
      <c r="J156" s="43"/>
      <c r="K156" s="43"/>
    </row>
    <row r="157" spans="1:11" x14ac:dyDescent="0.25">
      <c r="A157" s="81">
        <f>'2025'!A157</f>
        <v>162</v>
      </c>
      <c r="B157" s="75">
        <f>'2025'!E156</f>
        <v>0</v>
      </c>
      <c r="C157" s="1">
        <f>'2025'!F156</f>
        <v>0</v>
      </c>
      <c r="D157" s="43" t="s">
        <v>115</v>
      </c>
      <c r="E157" s="1">
        <f>'2025'!G156</f>
        <v>0</v>
      </c>
      <c r="F157" s="67">
        <f>'2025'!I156</f>
        <v>0</v>
      </c>
      <c r="G157" s="67">
        <f>'2025'!B156</f>
        <v>0</v>
      </c>
      <c r="H157" s="81">
        <f>'2025'!M156</f>
        <v>0</v>
      </c>
      <c r="I157" s="1">
        <f>'2025'!N156</f>
        <v>0</v>
      </c>
      <c r="J157" s="43"/>
      <c r="K157" s="43"/>
    </row>
    <row r="158" spans="1:11" x14ac:dyDescent="0.25">
      <c r="A158" s="81">
        <f>'2025'!A158</f>
        <v>163</v>
      </c>
      <c r="B158" s="75">
        <f>'2025'!E157</f>
        <v>0</v>
      </c>
      <c r="C158" s="1">
        <f>'2025'!F157</f>
        <v>0</v>
      </c>
      <c r="D158" s="43" t="s">
        <v>115</v>
      </c>
      <c r="E158" s="1">
        <f>'2025'!G157</f>
        <v>0</v>
      </c>
      <c r="F158" s="67">
        <f>'2025'!I157</f>
        <v>0</v>
      </c>
      <c r="G158" s="67">
        <f>'2025'!B157</f>
        <v>0</v>
      </c>
      <c r="H158" s="81">
        <f>'2025'!M157</f>
        <v>0</v>
      </c>
      <c r="I158" s="1">
        <f>'2025'!N157</f>
        <v>0</v>
      </c>
      <c r="J158" s="43"/>
      <c r="K158" s="43"/>
    </row>
    <row r="159" spans="1:11" x14ac:dyDescent="0.25">
      <c r="A159" s="81">
        <f>'2025'!A159</f>
        <v>164</v>
      </c>
      <c r="B159" s="75">
        <f>'2025'!E158</f>
        <v>0</v>
      </c>
      <c r="C159" s="1">
        <f>'2025'!F158</f>
        <v>0</v>
      </c>
      <c r="D159" s="43" t="s">
        <v>115</v>
      </c>
      <c r="E159" s="1">
        <f>'2025'!G158</f>
        <v>0</v>
      </c>
      <c r="F159" s="67">
        <f>'2025'!I158</f>
        <v>0</v>
      </c>
      <c r="G159" s="67">
        <f>'2025'!B158</f>
        <v>0</v>
      </c>
      <c r="H159" s="81">
        <f>'2025'!M158</f>
        <v>0</v>
      </c>
      <c r="I159" s="1">
        <f>'2025'!N158</f>
        <v>0</v>
      </c>
      <c r="J159" s="43"/>
      <c r="K159" s="43"/>
    </row>
    <row r="160" spans="1:11" x14ac:dyDescent="0.25">
      <c r="A160" s="81">
        <f>'2025'!A160</f>
        <v>165</v>
      </c>
      <c r="B160" s="75">
        <f>'2025'!E159</f>
        <v>0</v>
      </c>
      <c r="C160" s="1">
        <f>'2025'!F159</f>
        <v>0</v>
      </c>
      <c r="D160" s="43" t="s">
        <v>115</v>
      </c>
      <c r="E160" s="1">
        <f>'2025'!G159</f>
        <v>0</v>
      </c>
      <c r="F160" s="67">
        <f>'2025'!I159</f>
        <v>0</v>
      </c>
      <c r="G160" s="67">
        <f>'2025'!B159</f>
        <v>0</v>
      </c>
      <c r="H160" s="81">
        <f>'2025'!M159</f>
        <v>0</v>
      </c>
      <c r="I160" s="1">
        <f>'2025'!N159</f>
        <v>0</v>
      </c>
      <c r="J160" s="43"/>
      <c r="K160" s="43"/>
    </row>
    <row r="161" spans="1:11" x14ac:dyDescent="0.25">
      <c r="A161" s="81">
        <f>'2025'!A161</f>
        <v>166</v>
      </c>
      <c r="B161" s="75">
        <f>'2025'!E160</f>
        <v>0</v>
      </c>
      <c r="C161" s="1">
        <f>'2025'!F160</f>
        <v>0</v>
      </c>
      <c r="D161" s="43" t="s">
        <v>115</v>
      </c>
      <c r="E161" s="1">
        <f>'2025'!G160</f>
        <v>0</v>
      </c>
      <c r="F161" s="67">
        <f>'2025'!I160</f>
        <v>0</v>
      </c>
      <c r="G161" s="67">
        <f>'2025'!B160</f>
        <v>0</v>
      </c>
      <c r="H161" s="81">
        <f>'2025'!M160</f>
        <v>0</v>
      </c>
      <c r="I161" s="1">
        <f>'2025'!N160</f>
        <v>0</v>
      </c>
      <c r="J161" s="43"/>
      <c r="K161" s="43"/>
    </row>
    <row r="162" spans="1:11" x14ac:dyDescent="0.25">
      <c r="A162" s="81">
        <f>'2025'!A162</f>
        <v>167</v>
      </c>
      <c r="B162" s="75">
        <f>'2025'!E161</f>
        <v>0</v>
      </c>
      <c r="C162" s="1">
        <f>'2025'!F161</f>
        <v>0</v>
      </c>
      <c r="D162" s="43"/>
      <c r="E162" s="1">
        <f>'2025'!G161</f>
        <v>0</v>
      </c>
      <c r="F162" s="67">
        <f>'2025'!I161</f>
        <v>0</v>
      </c>
      <c r="G162" s="67">
        <f>'2025'!B161</f>
        <v>0</v>
      </c>
      <c r="H162" s="81">
        <f>'2025'!M161</f>
        <v>0</v>
      </c>
      <c r="I162" s="1">
        <f>'2025'!N161</f>
        <v>0</v>
      </c>
      <c r="J162" s="43"/>
      <c r="K162" s="43"/>
    </row>
    <row r="163" spans="1:11" x14ac:dyDescent="0.25">
      <c r="A163" s="81">
        <f>'2025'!A163</f>
        <v>168</v>
      </c>
      <c r="B163" s="75">
        <f>'2025'!E162</f>
        <v>0</v>
      </c>
      <c r="C163" s="1">
        <f>'2025'!F162</f>
        <v>0</v>
      </c>
      <c r="D163" s="43"/>
      <c r="E163" s="1">
        <f>'2025'!G162</f>
        <v>0</v>
      </c>
      <c r="F163" s="67">
        <f>'2025'!I162</f>
        <v>0</v>
      </c>
      <c r="G163" s="67">
        <f>'2025'!B162</f>
        <v>0</v>
      </c>
      <c r="H163" s="81">
        <f>'2025'!M162</f>
        <v>0</v>
      </c>
      <c r="I163" s="1">
        <f>'2025'!N162</f>
        <v>0</v>
      </c>
      <c r="J163" s="43"/>
      <c r="K163" s="43"/>
    </row>
    <row r="164" spans="1:11" x14ac:dyDescent="0.25">
      <c r="A164" s="81">
        <f>'2025'!A164</f>
        <v>169</v>
      </c>
      <c r="B164" s="75">
        <f>'2025'!E163</f>
        <v>0</v>
      </c>
      <c r="C164" s="1">
        <f>'2025'!F163</f>
        <v>0</v>
      </c>
      <c r="D164" s="43"/>
      <c r="E164" s="1">
        <f>'2025'!G163</f>
        <v>0</v>
      </c>
      <c r="F164" s="67">
        <f>'2025'!I163</f>
        <v>0</v>
      </c>
      <c r="G164" s="67">
        <f>'2025'!B163</f>
        <v>0</v>
      </c>
      <c r="H164" s="81">
        <f>'2025'!M163</f>
        <v>0</v>
      </c>
      <c r="I164" s="1">
        <f>'2025'!N163</f>
        <v>0</v>
      </c>
      <c r="J164" s="43"/>
      <c r="K164" s="43"/>
    </row>
    <row r="165" spans="1:11" x14ac:dyDescent="0.25">
      <c r="A165" s="81">
        <f>'2025'!A165</f>
        <v>170</v>
      </c>
      <c r="B165" s="75">
        <f>'2025'!E164</f>
        <v>0</v>
      </c>
      <c r="C165" s="1">
        <f>'2025'!F164</f>
        <v>0</v>
      </c>
      <c r="D165" s="43"/>
      <c r="E165" s="1">
        <f>'2025'!G164</f>
        <v>0</v>
      </c>
      <c r="F165" s="67">
        <f>'2025'!I164</f>
        <v>0</v>
      </c>
      <c r="G165" s="67">
        <f>'2025'!B164</f>
        <v>0</v>
      </c>
      <c r="H165" s="81">
        <f>'2025'!M164</f>
        <v>0</v>
      </c>
      <c r="I165" s="1">
        <f>'2025'!N164</f>
        <v>0</v>
      </c>
      <c r="J165" s="43"/>
      <c r="K165" s="43"/>
    </row>
    <row r="166" spans="1:11" x14ac:dyDescent="0.25">
      <c r="A166" s="81">
        <f>'2025'!A166</f>
        <v>171</v>
      </c>
      <c r="B166" s="75">
        <f>'2025'!E165</f>
        <v>0</v>
      </c>
      <c r="C166" s="1">
        <f>'2025'!F165</f>
        <v>0</v>
      </c>
      <c r="D166" s="43"/>
      <c r="E166" s="1">
        <f>'2025'!G165</f>
        <v>0</v>
      </c>
      <c r="F166" s="67">
        <f>'2025'!I165</f>
        <v>0</v>
      </c>
      <c r="G166" s="67">
        <f>'2025'!B165</f>
        <v>0</v>
      </c>
      <c r="H166" s="81">
        <f>'2025'!M165</f>
        <v>0</v>
      </c>
      <c r="I166" s="1">
        <f>'2025'!N165</f>
        <v>0</v>
      </c>
      <c r="J166" s="43"/>
      <c r="K166" s="43"/>
    </row>
    <row r="167" spans="1:11" x14ac:dyDescent="0.25">
      <c r="A167" s="81">
        <f>'2025'!A167</f>
        <v>172</v>
      </c>
      <c r="B167" s="75">
        <f>'2025'!E166</f>
        <v>0</v>
      </c>
      <c r="C167" s="1">
        <f>'2025'!F166</f>
        <v>0</v>
      </c>
      <c r="D167" s="43"/>
      <c r="E167" s="1">
        <f>'2025'!G166</f>
        <v>0</v>
      </c>
      <c r="F167" s="67">
        <f>'2025'!I166</f>
        <v>0</v>
      </c>
      <c r="G167" s="67">
        <f>'2025'!B166</f>
        <v>0</v>
      </c>
      <c r="H167" s="81">
        <f>'2025'!M166</f>
        <v>0</v>
      </c>
      <c r="I167" s="1">
        <f>'2025'!N166</f>
        <v>0</v>
      </c>
      <c r="J167" s="43"/>
      <c r="K167" s="43"/>
    </row>
    <row r="168" spans="1:11" x14ac:dyDescent="0.25">
      <c r="A168" s="81">
        <f>'2025'!A168</f>
        <v>173</v>
      </c>
      <c r="B168" s="75">
        <f>'2025'!E167</f>
        <v>0</v>
      </c>
      <c r="C168" s="1">
        <f>'2025'!F167</f>
        <v>0</v>
      </c>
      <c r="D168" s="43"/>
      <c r="E168" s="1">
        <f>'2025'!G167</f>
        <v>0</v>
      </c>
      <c r="F168" s="67">
        <f>'2025'!I167</f>
        <v>0</v>
      </c>
      <c r="G168" s="67">
        <f>'2025'!B167</f>
        <v>0</v>
      </c>
      <c r="H168" s="81">
        <f>'2025'!M167</f>
        <v>0</v>
      </c>
      <c r="I168" s="1">
        <f>'2025'!N167</f>
        <v>0</v>
      </c>
      <c r="J168" s="43"/>
      <c r="K168" s="43"/>
    </row>
    <row r="169" spans="1:11" x14ac:dyDescent="0.25">
      <c r="A169" s="81">
        <f>'2025'!A169</f>
        <v>174</v>
      </c>
      <c r="B169" s="75">
        <f>'2025'!E168</f>
        <v>0</v>
      </c>
      <c r="C169" s="1">
        <f>'2025'!F168</f>
        <v>0</v>
      </c>
      <c r="D169" s="43"/>
      <c r="E169" s="1">
        <f>'2025'!G168</f>
        <v>0</v>
      </c>
      <c r="F169" s="67">
        <f>'2025'!I168</f>
        <v>0</v>
      </c>
      <c r="G169" s="67">
        <f>'2025'!B168</f>
        <v>0</v>
      </c>
      <c r="H169" s="81">
        <f>'2025'!M168</f>
        <v>0</v>
      </c>
      <c r="I169" s="1">
        <f>'2025'!N168</f>
        <v>0</v>
      </c>
      <c r="J169" s="43"/>
      <c r="K169" s="43"/>
    </row>
    <row r="170" spans="1:11" x14ac:dyDescent="0.25">
      <c r="A170" s="81">
        <f>'2025'!A170</f>
        <v>175</v>
      </c>
      <c r="B170" s="75">
        <f>'2025'!E169</f>
        <v>0</v>
      </c>
      <c r="C170" s="1">
        <f>'2025'!F169</f>
        <v>0</v>
      </c>
      <c r="D170" s="43"/>
      <c r="E170" s="1">
        <f>'2025'!G169</f>
        <v>0</v>
      </c>
      <c r="F170" s="67">
        <f>'2025'!I169</f>
        <v>0</v>
      </c>
      <c r="G170" s="67">
        <f>'2025'!B169</f>
        <v>0</v>
      </c>
      <c r="H170" s="81">
        <f>'2025'!M169</f>
        <v>0</v>
      </c>
      <c r="I170" s="1">
        <f>'2025'!N169</f>
        <v>0</v>
      </c>
      <c r="J170" s="43"/>
      <c r="K170" s="43"/>
    </row>
    <row r="171" spans="1:11" x14ac:dyDescent="0.25">
      <c r="A171" s="81">
        <f>'2025'!A171</f>
        <v>176</v>
      </c>
      <c r="B171" s="75">
        <f>'2025'!E170</f>
        <v>0</v>
      </c>
      <c r="C171" s="1">
        <f>'2025'!F170</f>
        <v>0</v>
      </c>
      <c r="D171" s="43"/>
      <c r="E171" s="1">
        <f>'2025'!G170</f>
        <v>0</v>
      </c>
      <c r="F171" s="67">
        <f>'2025'!I170</f>
        <v>0</v>
      </c>
      <c r="G171" s="67">
        <f>'2025'!B170</f>
        <v>0</v>
      </c>
      <c r="H171" s="81">
        <f>'2025'!M170</f>
        <v>0</v>
      </c>
      <c r="I171" s="1">
        <f>'2025'!N170</f>
        <v>0</v>
      </c>
      <c r="J171" s="43"/>
      <c r="K171" s="43"/>
    </row>
    <row r="172" spans="1:11" x14ac:dyDescent="0.25">
      <c r="A172" s="81">
        <f>'2025'!A172</f>
        <v>177</v>
      </c>
      <c r="B172" s="75">
        <f>'2025'!E171</f>
        <v>0</v>
      </c>
      <c r="C172" s="1">
        <f>'2025'!F171</f>
        <v>0</v>
      </c>
      <c r="D172" s="43"/>
      <c r="E172" s="1">
        <f>'2025'!G171</f>
        <v>0</v>
      </c>
      <c r="F172" s="67">
        <f>'2025'!I171</f>
        <v>0</v>
      </c>
      <c r="G172" s="67">
        <f>'2025'!B171</f>
        <v>0</v>
      </c>
      <c r="H172" s="81">
        <f>'2025'!M171</f>
        <v>0</v>
      </c>
      <c r="I172" s="1">
        <f>'2025'!N171</f>
        <v>0</v>
      </c>
      <c r="J172" s="43"/>
      <c r="K172" s="43"/>
    </row>
    <row r="173" spans="1:11" x14ac:dyDescent="0.25">
      <c r="A173" s="81">
        <f>'2025'!A173</f>
        <v>178</v>
      </c>
      <c r="B173" s="75">
        <f>'2025'!E172</f>
        <v>0</v>
      </c>
      <c r="C173" s="1">
        <f>'2025'!F172</f>
        <v>0</v>
      </c>
      <c r="D173" s="43"/>
      <c r="E173" s="1">
        <f>'2025'!G172</f>
        <v>0</v>
      </c>
      <c r="F173" s="67">
        <f>'2025'!I172</f>
        <v>0</v>
      </c>
      <c r="G173" s="67">
        <f>'2025'!B172</f>
        <v>0</v>
      </c>
      <c r="H173" s="81">
        <f>'2025'!M172</f>
        <v>0</v>
      </c>
      <c r="I173" s="1">
        <f>'2025'!N172</f>
        <v>0</v>
      </c>
      <c r="J173" s="43"/>
      <c r="K173" s="43"/>
    </row>
    <row r="174" spans="1:11" x14ac:dyDescent="0.25">
      <c r="A174" s="81">
        <f>'2025'!A174</f>
        <v>179</v>
      </c>
      <c r="B174" s="75">
        <f>'2025'!E173</f>
        <v>0</v>
      </c>
      <c r="C174" s="1">
        <f>'2025'!F173</f>
        <v>0</v>
      </c>
      <c r="D174" s="43"/>
      <c r="E174" s="1">
        <f>'2025'!G173</f>
        <v>0</v>
      </c>
      <c r="F174" s="67">
        <f>'2025'!I173</f>
        <v>0</v>
      </c>
      <c r="G174" s="67">
        <f>'2025'!B173</f>
        <v>0</v>
      </c>
      <c r="H174" s="81">
        <f>'2025'!M173</f>
        <v>0</v>
      </c>
      <c r="I174" s="1">
        <f>'2025'!N173</f>
        <v>0</v>
      </c>
      <c r="J174" s="43"/>
      <c r="K174" s="43"/>
    </row>
    <row r="175" spans="1:11" x14ac:dyDescent="0.25">
      <c r="A175" s="81">
        <f>'2025'!A175</f>
        <v>180</v>
      </c>
      <c r="B175" s="75">
        <f>'2025'!E174</f>
        <v>0</v>
      </c>
      <c r="C175" s="1">
        <f>'2025'!F174</f>
        <v>0</v>
      </c>
      <c r="D175" s="43"/>
      <c r="E175" s="1">
        <f>'2025'!G174</f>
        <v>0</v>
      </c>
      <c r="F175" s="67">
        <f>'2025'!I174</f>
        <v>0</v>
      </c>
      <c r="G175" s="67">
        <f>'2025'!B174</f>
        <v>0</v>
      </c>
      <c r="H175" s="81">
        <f>'2025'!M174</f>
        <v>0</v>
      </c>
      <c r="I175" s="1">
        <f>'2025'!N174</f>
        <v>0</v>
      </c>
      <c r="J175" s="43"/>
      <c r="K175" s="43"/>
    </row>
    <row r="176" spans="1:11" x14ac:dyDescent="0.25">
      <c r="A176" s="81">
        <f>'2025'!A176</f>
        <v>181</v>
      </c>
      <c r="B176" s="75">
        <f>'2025'!E175</f>
        <v>0</v>
      </c>
      <c r="C176" s="1">
        <f>'2025'!F175</f>
        <v>0</v>
      </c>
      <c r="D176" s="43"/>
      <c r="E176" s="1">
        <f>'2025'!G175</f>
        <v>0</v>
      </c>
      <c r="F176" s="67">
        <f>'2025'!I175</f>
        <v>0</v>
      </c>
      <c r="G176" s="67">
        <f>'2025'!B175</f>
        <v>0</v>
      </c>
      <c r="H176" s="81">
        <f>'2025'!M175</f>
        <v>0</v>
      </c>
      <c r="I176" s="1">
        <f>'2025'!N175</f>
        <v>0</v>
      </c>
      <c r="J176" s="43"/>
      <c r="K176" s="43"/>
    </row>
    <row r="177" spans="1:11" x14ac:dyDescent="0.25">
      <c r="A177" s="81">
        <f>'2025'!A177</f>
        <v>182</v>
      </c>
      <c r="B177" s="75">
        <f>'2025'!E176</f>
        <v>0</v>
      </c>
      <c r="C177" s="1">
        <f>'2025'!F176</f>
        <v>0</v>
      </c>
      <c r="D177" s="43"/>
      <c r="E177" s="1">
        <f>'2025'!G176</f>
        <v>0</v>
      </c>
      <c r="F177" s="67">
        <f>'2025'!I176</f>
        <v>0</v>
      </c>
      <c r="G177" s="67">
        <f>'2025'!B176</f>
        <v>0</v>
      </c>
      <c r="H177" s="81">
        <f>'2025'!M176</f>
        <v>0</v>
      </c>
      <c r="I177" s="1">
        <f>'2025'!N176</f>
        <v>0</v>
      </c>
      <c r="J177" s="43"/>
      <c r="K177" s="43"/>
    </row>
    <row r="178" spans="1:11" x14ac:dyDescent="0.25">
      <c r="A178" s="81">
        <f>'2025'!A178</f>
        <v>183</v>
      </c>
      <c r="B178" s="75">
        <f>'2025'!E177</f>
        <v>0</v>
      </c>
      <c r="C178" s="1">
        <f>'2025'!F177</f>
        <v>0</v>
      </c>
      <c r="D178" s="43"/>
      <c r="E178" s="1">
        <f>'2025'!G177</f>
        <v>0</v>
      </c>
      <c r="F178" s="67">
        <f>'2025'!I177</f>
        <v>0</v>
      </c>
      <c r="G178" s="67">
        <f>'2025'!B177</f>
        <v>0</v>
      </c>
      <c r="H178" s="81">
        <f>'2025'!M177</f>
        <v>0</v>
      </c>
      <c r="I178" s="1">
        <f>'2025'!N177</f>
        <v>0</v>
      </c>
      <c r="J178" s="43"/>
      <c r="K178" s="43"/>
    </row>
    <row r="179" spans="1:11" x14ac:dyDescent="0.25">
      <c r="A179" s="81">
        <f>'2025'!A179</f>
        <v>184</v>
      </c>
      <c r="B179" s="75">
        <f>'2025'!E178</f>
        <v>0</v>
      </c>
      <c r="C179" s="1">
        <f>'2025'!F178</f>
        <v>0</v>
      </c>
      <c r="D179" s="43"/>
      <c r="E179" s="1">
        <f>'2025'!G178</f>
        <v>0</v>
      </c>
      <c r="F179" s="67">
        <f>'2025'!I178</f>
        <v>0</v>
      </c>
      <c r="G179" s="67">
        <f>'2025'!B178</f>
        <v>0</v>
      </c>
      <c r="H179" s="81">
        <f>'2025'!M178</f>
        <v>0</v>
      </c>
      <c r="I179" s="1">
        <f>'2025'!N178</f>
        <v>0</v>
      </c>
      <c r="J179" s="43"/>
      <c r="K179" s="43"/>
    </row>
    <row r="180" spans="1:11" x14ac:dyDescent="0.25">
      <c r="A180" s="81">
        <f>'2025'!A180</f>
        <v>185</v>
      </c>
      <c r="B180" s="75">
        <f>'2025'!E179</f>
        <v>0</v>
      </c>
      <c r="C180" s="1">
        <f>'2025'!F179</f>
        <v>0</v>
      </c>
      <c r="D180" s="43"/>
      <c r="E180" s="1">
        <f>'2025'!G179</f>
        <v>0</v>
      </c>
      <c r="F180" s="67">
        <f>'2025'!I179</f>
        <v>0</v>
      </c>
      <c r="G180" s="67">
        <f>'2025'!B179</f>
        <v>0</v>
      </c>
      <c r="H180" s="81">
        <f>'2025'!M179</f>
        <v>0</v>
      </c>
      <c r="I180" s="1">
        <f>'2025'!N179</f>
        <v>0</v>
      </c>
      <c r="J180" s="43"/>
      <c r="K180" s="43"/>
    </row>
    <row r="181" spans="1:11" x14ac:dyDescent="0.25">
      <c r="A181" s="81">
        <f>'2025'!A181</f>
        <v>186</v>
      </c>
      <c r="B181" s="75">
        <f>'2025'!E180</f>
        <v>0</v>
      </c>
      <c r="C181" s="1">
        <f>'2025'!F180</f>
        <v>0</v>
      </c>
      <c r="D181" s="43"/>
      <c r="E181" s="1">
        <f>'2025'!G180</f>
        <v>0</v>
      </c>
      <c r="F181" s="67">
        <f>'2025'!I180</f>
        <v>0</v>
      </c>
      <c r="G181" s="67">
        <f>'2025'!B180</f>
        <v>0</v>
      </c>
      <c r="H181" s="81">
        <f>'2025'!M180</f>
        <v>0</v>
      </c>
      <c r="I181" s="1">
        <f>'2025'!N180</f>
        <v>0</v>
      </c>
      <c r="J181" s="43"/>
      <c r="K181" s="43"/>
    </row>
    <row r="182" spans="1:11" x14ac:dyDescent="0.25">
      <c r="A182" s="81">
        <f>'2025'!A182</f>
        <v>187</v>
      </c>
      <c r="B182" s="75">
        <f>'2025'!E181</f>
        <v>0</v>
      </c>
      <c r="C182" s="1">
        <f>'2025'!F181</f>
        <v>0</v>
      </c>
      <c r="D182" s="43"/>
      <c r="E182" s="1">
        <f>'2025'!G181</f>
        <v>0</v>
      </c>
      <c r="F182" s="67">
        <f>'2025'!I181</f>
        <v>0</v>
      </c>
      <c r="G182" s="67">
        <f>'2025'!B181</f>
        <v>0</v>
      </c>
      <c r="H182" s="81">
        <f>'2025'!M181</f>
        <v>0</v>
      </c>
      <c r="I182" s="1">
        <f>'2025'!N181</f>
        <v>0</v>
      </c>
      <c r="J182" s="43"/>
      <c r="K182" s="43"/>
    </row>
    <row r="183" spans="1:11" x14ac:dyDescent="0.25">
      <c r="A183" s="81">
        <f>'2025'!A183</f>
        <v>188</v>
      </c>
      <c r="B183" s="75">
        <f>'2025'!E182</f>
        <v>0</v>
      </c>
      <c r="C183" s="1">
        <f>'2025'!F182</f>
        <v>0</v>
      </c>
      <c r="D183" s="43"/>
      <c r="E183" s="1">
        <f>'2025'!G182</f>
        <v>0</v>
      </c>
      <c r="F183" s="67">
        <f>'2025'!I182</f>
        <v>0</v>
      </c>
      <c r="G183" s="67">
        <f>'2025'!B182</f>
        <v>0</v>
      </c>
      <c r="H183" s="81">
        <f>'2025'!M182</f>
        <v>0</v>
      </c>
      <c r="I183" s="1">
        <f>'2025'!N182</f>
        <v>0</v>
      </c>
      <c r="J183" s="43"/>
      <c r="K183" s="43"/>
    </row>
    <row r="184" spans="1:11" x14ac:dyDescent="0.25">
      <c r="A184" s="81">
        <f>'2025'!A184</f>
        <v>189</v>
      </c>
      <c r="B184" s="75">
        <f>'2025'!E183</f>
        <v>0</v>
      </c>
      <c r="C184" s="1">
        <f>'2025'!F183</f>
        <v>0</v>
      </c>
      <c r="D184" s="43"/>
      <c r="E184" s="1">
        <f>'2025'!G183</f>
        <v>0</v>
      </c>
      <c r="F184" s="67">
        <f>'2025'!I183</f>
        <v>0</v>
      </c>
      <c r="G184" s="67">
        <f>'2025'!B183</f>
        <v>0</v>
      </c>
      <c r="H184" s="81">
        <f>'2025'!M183</f>
        <v>0</v>
      </c>
      <c r="I184" s="1">
        <f>'2025'!N183</f>
        <v>0</v>
      </c>
      <c r="J184" s="43"/>
      <c r="K184" s="43"/>
    </row>
    <row r="185" spans="1:11" x14ac:dyDescent="0.25">
      <c r="A185" s="81">
        <f>'2025'!A185</f>
        <v>190</v>
      </c>
      <c r="B185" s="75">
        <f>'2025'!E184</f>
        <v>0</v>
      </c>
      <c r="C185" s="1">
        <f>'2025'!F184</f>
        <v>0</v>
      </c>
      <c r="D185" s="43"/>
      <c r="E185" s="1">
        <f>'2025'!G184</f>
        <v>0</v>
      </c>
      <c r="F185" s="67">
        <f>'2025'!I184</f>
        <v>0</v>
      </c>
      <c r="G185" s="67">
        <f>'2025'!B184</f>
        <v>0</v>
      </c>
      <c r="H185" s="81">
        <f>'2025'!M184</f>
        <v>0</v>
      </c>
      <c r="I185" s="1">
        <f>'2025'!N184</f>
        <v>0</v>
      </c>
      <c r="J185" s="43"/>
      <c r="K185" s="43"/>
    </row>
    <row r="186" spans="1:11" x14ac:dyDescent="0.25">
      <c r="A186" s="81">
        <f>'2025'!A186</f>
        <v>191</v>
      </c>
      <c r="B186" s="75">
        <f>'2025'!E185</f>
        <v>0</v>
      </c>
      <c r="C186" s="1">
        <f>'2025'!F185</f>
        <v>0</v>
      </c>
      <c r="D186" s="43"/>
      <c r="E186" s="1">
        <f>'2025'!G185</f>
        <v>0</v>
      </c>
      <c r="F186" s="67">
        <f>'2025'!I185</f>
        <v>0</v>
      </c>
      <c r="G186" s="67">
        <f>'2025'!B185</f>
        <v>0</v>
      </c>
      <c r="H186" s="81">
        <f>'2025'!M185</f>
        <v>0</v>
      </c>
      <c r="I186" s="1">
        <f>'2025'!N185</f>
        <v>0</v>
      </c>
      <c r="J186" s="43"/>
      <c r="K186" s="43"/>
    </row>
    <row r="187" spans="1:11" x14ac:dyDescent="0.25">
      <c r="A187" s="81">
        <f>'2025'!A187</f>
        <v>192</v>
      </c>
      <c r="B187" s="75">
        <f>'2025'!E186</f>
        <v>0</v>
      </c>
      <c r="C187" s="1">
        <f>'2025'!F186</f>
        <v>0</v>
      </c>
      <c r="D187" s="43"/>
      <c r="E187" s="1">
        <f>'2025'!G186</f>
        <v>0</v>
      </c>
      <c r="F187" s="67">
        <f>'2025'!I186</f>
        <v>0</v>
      </c>
      <c r="G187" s="67">
        <f>'2025'!B186</f>
        <v>0</v>
      </c>
      <c r="H187" s="81">
        <f>'2025'!M186</f>
        <v>0</v>
      </c>
      <c r="I187" s="1">
        <f>'2025'!N186</f>
        <v>0</v>
      </c>
      <c r="J187" s="43"/>
      <c r="K187" s="43"/>
    </row>
    <row r="188" spans="1:11" x14ac:dyDescent="0.25">
      <c r="A188" s="81">
        <f>'2025'!A188</f>
        <v>193</v>
      </c>
      <c r="B188" s="75">
        <f>'2025'!E187</f>
        <v>0</v>
      </c>
      <c r="C188" s="1">
        <f>'2025'!F187</f>
        <v>0</v>
      </c>
      <c r="D188" s="43"/>
      <c r="E188" s="1">
        <f>'2025'!G187</f>
        <v>0</v>
      </c>
      <c r="F188" s="67">
        <f>'2025'!I187</f>
        <v>0</v>
      </c>
      <c r="G188" s="67">
        <f>'2025'!B187</f>
        <v>0</v>
      </c>
      <c r="H188" s="81">
        <f>'2025'!M187</f>
        <v>0</v>
      </c>
      <c r="I188" s="1">
        <f>'2025'!N187</f>
        <v>0</v>
      </c>
      <c r="J188" s="43"/>
      <c r="K188" s="43"/>
    </row>
    <row r="189" spans="1:11" x14ac:dyDescent="0.25">
      <c r="A189" s="81">
        <f>'2025'!A189</f>
        <v>194</v>
      </c>
      <c r="B189" s="75">
        <f>'2025'!E188</f>
        <v>0</v>
      </c>
      <c r="C189" s="1">
        <f>'2025'!F188</f>
        <v>0</v>
      </c>
      <c r="D189" s="43"/>
      <c r="E189" s="1">
        <f>'2025'!G188</f>
        <v>0</v>
      </c>
      <c r="F189" s="67">
        <f>'2025'!I188</f>
        <v>0</v>
      </c>
      <c r="G189" s="67">
        <f>'2025'!B188</f>
        <v>0</v>
      </c>
      <c r="H189" s="81">
        <f>'2025'!M188</f>
        <v>0</v>
      </c>
      <c r="I189" s="1">
        <f>'2025'!N188</f>
        <v>0</v>
      </c>
      <c r="J189" s="43"/>
      <c r="K189" s="43"/>
    </row>
    <row r="190" spans="1:11" x14ac:dyDescent="0.25">
      <c r="A190" s="81">
        <f>'2025'!A190</f>
        <v>195</v>
      </c>
      <c r="B190" s="75">
        <f>'2025'!E189</f>
        <v>0</v>
      </c>
      <c r="C190" s="1">
        <f>'2025'!F189</f>
        <v>0</v>
      </c>
      <c r="D190" s="43"/>
      <c r="E190" s="1">
        <f>'2025'!G189</f>
        <v>0</v>
      </c>
      <c r="F190" s="67">
        <f>'2025'!I189</f>
        <v>0</v>
      </c>
      <c r="G190" s="67">
        <f>'2025'!B189</f>
        <v>0</v>
      </c>
      <c r="H190" s="81">
        <f>'2025'!M189</f>
        <v>0</v>
      </c>
      <c r="I190" s="1">
        <f>'2025'!N189</f>
        <v>0</v>
      </c>
      <c r="J190" s="43"/>
      <c r="K190" s="43"/>
    </row>
    <row r="191" spans="1:11" x14ac:dyDescent="0.25">
      <c r="A191" s="81">
        <f>'2025'!A191</f>
        <v>196</v>
      </c>
      <c r="B191" s="75">
        <f>'2025'!E190</f>
        <v>0</v>
      </c>
      <c r="C191" s="1">
        <f>'2025'!F190</f>
        <v>0</v>
      </c>
      <c r="D191" s="43"/>
      <c r="E191" s="1">
        <f>'2025'!G190</f>
        <v>0</v>
      </c>
      <c r="F191" s="67">
        <f>'2025'!I190</f>
        <v>0</v>
      </c>
      <c r="G191" s="67">
        <f>'2025'!B190</f>
        <v>0</v>
      </c>
      <c r="H191" s="81">
        <f>'2025'!M190</f>
        <v>0</v>
      </c>
      <c r="I191" s="1">
        <f>'2025'!N190</f>
        <v>0</v>
      </c>
      <c r="J191" s="43"/>
      <c r="K191" s="43"/>
    </row>
    <row r="192" spans="1:11" x14ac:dyDescent="0.25">
      <c r="A192" s="81">
        <f>'2025'!A192</f>
        <v>197</v>
      </c>
      <c r="B192" s="75">
        <f>'2025'!E191</f>
        <v>0</v>
      </c>
      <c r="C192" s="1">
        <f>'2025'!F191</f>
        <v>0</v>
      </c>
      <c r="D192" s="43"/>
      <c r="E192" s="1">
        <f>'2025'!G191</f>
        <v>0</v>
      </c>
      <c r="F192" s="67">
        <f>'2025'!I191</f>
        <v>0</v>
      </c>
      <c r="G192" s="67">
        <f>'2025'!B191</f>
        <v>0</v>
      </c>
      <c r="H192" s="81">
        <f>'2025'!M191</f>
        <v>0</v>
      </c>
      <c r="I192" s="1">
        <f>'2025'!N191</f>
        <v>0</v>
      </c>
      <c r="J192" s="43"/>
      <c r="K192" s="43"/>
    </row>
    <row r="193" spans="1:11" x14ac:dyDescent="0.25">
      <c r="A193" s="81">
        <f>'2025'!A193</f>
        <v>198</v>
      </c>
      <c r="B193" s="75">
        <f>'2025'!E192</f>
        <v>0</v>
      </c>
      <c r="C193" s="1">
        <f>'2025'!F192</f>
        <v>0</v>
      </c>
      <c r="D193" s="43"/>
      <c r="E193" s="1">
        <f>'2025'!G192</f>
        <v>0</v>
      </c>
      <c r="F193" s="67">
        <f>'2025'!I192</f>
        <v>0</v>
      </c>
      <c r="G193" s="67">
        <f>'2025'!B192</f>
        <v>0</v>
      </c>
      <c r="H193" s="81">
        <f>'2025'!M192</f>
        <v>0</v>
      </c>
      <c r="I193" s="1">
        <f>'2025'!N192</f>
        <v>0</v>
      </c>
      <c r="J193" s="43"/>
      <c r="K193" s="43"/>
    </row>
    <row r="194" spans="1:11" x14ac:dyDescent="0.25">
      <c r="A194" s="81">
        <f>'2025'!A194</f>
        <v>199</v>
      </c>
      <c r="B194" s="75">
        <f>'2025'!E193</f>
        <v>0</v>
      </c>
      <c r="C194" s="1">
        <f>'2025'!F193</f>
        <v>0</v>
      </c>
      <c r="D194" s="43"/>
      <c r="E194" s="1">
        <f>'2025'!G193</f>
        <v>0</v>
      </c>
      <c r="F194" s="67">
        <f>'2025'!I193</f>
        <v>0</v>
      </c>
      <c r="G194" s="67">
        <f>'2025'!B193</f>
        <v>0</v>
      </c>
      <c r="H194" s="81">
        <f>'2025'!M193</f>
        <v>0</v>
      </c>
      <c r="I194" s="1">
        <f>'2025'!N193</f>
        <v>0</v>
      </c>
      <c r="J194" s="43"/>
      <c r="K194" s="43"/>
    </row>
    <row r="195" spans="1:11" x14ac:dyDescent="0.25">
      <c r="A195" s="81">
        <f>'2025'!A195</f>
        <v>200</v>
      </c>
      <c r="B195" s="75">
        <f>'2025'!E194</f>
        <v>0</v>
      </c>
      <c r="C195" s="1">
        <f>'2025'!F194</f>
        <v>0</v>
      </c>
      <c r="D195" s="43"/>
      <c r="E195" s="1">
        <f>'2025'!G194</f>
        <v>0</v>
      </c>
      <c r="F195" s="67">
        <f>'2025'!I194</f>
        <v>0</v>
      </c>
      <c r="G195" s="67">
        <f>'2025'!B194</f>
        <v>0</v>
      </c>
      <c r="H195" s="81">
        <f>'2025'!M194</f>
        <v>0</v>
      </c>
      <c r="I195" s="1">
        <f>'2025'!N194</f>
        <v>0</v>
      </c>
      <c r="J195" s="43"/>
      <c r="K195" s="43"/>
    </row>
    <row r="196" spans="1:11" x14ac:dyDescent="0.25">
      <c r="A196" s="81">
        <f>'2025'!A196</f>
        <v>201</v>
      </c>
      <c r="B196" s="75">
        <f>'2025'!E195</f>
        <v>0</v>
      </c>
      <c r="C196" s="1">
        <f>'2025'!F195</f>
        <v>0</v>
      </c>
      <c r="D196" s="43"/>
      <c r="E196" s="1">
        <f>'2025'!G195</f>
        <v>0</v>
      </c>
      <c r="F196" s="67">
        <f>'2025'!I195</f>
        <v>0</v>
      </c>
      <c r="G196" s="67">
        <f>'2025'!B195</f>
        <v>0</v>
      </c>
      <c r="H196" s="81">
        <f>'2025'!M195</f>
        <v>0</v>
      </c>
      <c r="I196" s="1">
        <f>'2025'!N195</f>
        <v>0</v>
      </c>
      <c r="J196" s="43"/>
      <c r="K196" s="43"/>
    </row>
    <row r="197" spans="1:11" x14ac:dyDescent="0.25">
      <c r="A197" s="81">
        <f>'2025'!A197</f>
        <v>202</v>
      </c>
      <c r="B197" s="75">
        <f>'2025'!E196</f>
        <v>0</v>
      </c>
      <c r="C197" s="1">
        <f>'2025'!F196</f>
        <v>0</v>
      </c>
      <c r="D197" s="43"/>
      <c r="E197" s="1">
        <f>'2025'!G196</f>
        <v>0</v>
      </c>
      <c r="F197" s="67">
        <f>'2025'!I196</f>
        <v>0</v>
      </c>
      <c r="G197" s="67">
        <f>'2025'!B196</f>
        <v>0</v>
      </c>
      <c r="H197" s="81">
        <f>'2025'!M196</f>
        <v>0</v>
      </c>
      <c r="I197" s="1">
        <f>'2025'!N196</f>
        <v>0</v>
      </c>
      <c r="J197" s="43"/>
      <c r="K197" s="43"/>
    </row>
    <row r="198" spans="1:11" x14ac:dyDescent="0.25">
      <c r="A198" s="81">
        <f>'2025'!A198</f>
        <v>203</v>
      </c>
      <c r="B198" s="75">
        <f>'2025'!E197</f>
        <v>0</v>
      </c>
      <c r="C198" s="1">
        <f>'2025'!F197</f>
        <v>0</v>
      </c>
      <c r="D198" s="43"/>
      <c r="E198" s="1">
        <f>'2025'!G197</f>
        <v>0</v>
      </c>
      <c r="F198" s="67">
        <f>'2025'!I197</f>
        <v>0</v>
      </c>
      <c r="G198" s="67">
        <f>'2025'!B197</f>
        <v>0</v>
      </c>
      <c r="H198" s="81">
        <f>'2025'!M197</f>
        <v>0</v>
      </c>
      <c r="I198" s="1">
        <f>'2025'!N197</f>
        <v>0</v>
      </c>
      <c r="J198" s="43"/>
      <c r="K198" s="43"/>
    </row>
    <row r="199" spans="1:11" x14ac:dyDescent="0.25">
      <c r="A199" s="81">
        <f>'2025'!A199</f>
        <v>204</v>
      </c>
      <c r="B199" s="75">
        <f>'2025'!E198</f>
        <v>0</v>
      </c>
      <c r="C199" s="1">
        <f>'2025'!F198</f>
        <v>0</v>
      </c>
      <c r="D199" s="43"/>
      <c r="E199" s="1">
        <f>'2025'!G198</f>
        <v>0</v>
      </c>
      <c r="F199" s="67">
        <f>'2025'!I198</f>
        <v>0</v>
      </c>
      <c r="G199" s="67">
        <f>'2025'!B198</f>
        <v>0</v>
      </c>
      <c r="H199" s="81">
        <f>'2025'!M198</f>
        <v>0</v>
      </c>
      <c r="I199" s="1">
        <f>'2025'!N198</f>
        <v>0</v>
      </c>
      <c r="J199" s="43"/>
      <c r="K199" s="43"/>
    </row>
    <row r="200" spans="1:11" x14ac:dyDescent="0.25">
      <c r="A200" s="81">
        <f>'2025'!A200</f>
        <v>205</v>
      </c>
      <c r="B200" s="75">
        <f>'2025'!E199</f>
        <v>0</v>
      </c>
      <c r="C200" s="1">
        <f>'2025'!F199</f>
        <v>0</v>
      </c>
      <c r="D200" s="43"/>
      <c r="E200" s="1">
        <f>'2025'!G199</f>
        <v>0</v>
      </c>
      <c r="F200" s="67">
        <f>'2025'!I199</f>
        <v>0</v>
      </c>
      <c r="G200" s="67">
        <f>'2025'!B199</f>
        <v>0</v>
      </c>
      <c r="H200" s="81">
        <f>'2025'!M199</f>
        <v>0</v>
      </c>
      <c r="I200" s="1">
        <f>'2025'!N199</f>
        <v>0</v>
      </c>
      <c r="J200" s="43"/>
      <c r="K200" s="43"/>
    </row>
    <row r="201" spans="1:11" x14ac:dyDescent="0.25">
      <c r="A201" s="81">
        <f>'2025'!A201</f>
        <v>206</v>
      </c>
      <c r="B201" s="75">
        <f>'2025'!E200</f>
        <v>0</v>
      </c>
      <c r="C201" s="1">
        <f>'2025'!F200</f>
        <v>0</v>
      </c>
      <c r="D201" s="43"/>
      <c r="E201" s="1">
        <f>'2025'!G200</f>
        <v>0</v>
      </c>
      <c r="F201" s="67">
        <f>'2025'!I200</f>
        <v>0</v>
      </c>
      <c r="G201" s="67">
        <f>'2025'!B200</f>
        <v>0</v>
      </c>
      <c r="H201" s="81">
        <f>'2025'!M200</f>
        <v>0</v>
      </c>
      <c r="I201" s="1">
        <f>'2025'!N200</f>
        <v>0</v>
      </c>
      <c r="J201" s="43"/>
      <c r="K201" s="43"/>
    </row>
    <row r="202" spans="1:11" x14ac:dyDescent="0.25">
      <c r="A202" s="81">
        <f>'2025'!A202</f>
        <v>206</v>
      </c>
      <c r="B202" s="75">
        <f>'2025'!E201</f>
        <v>0</v>
      </c>
      <c r="C202" s="1">
        <f>'2025'!F201</f>
        <v>0</v>
      </c>
      <c r="D202" s="43"/>
      <c r="E202" s="1">
        <f>'2025'!G201</f>
        <v>0</v>
      </c>
      <c r="F202" s="67">
        <f>'2025'!I201</f>
        <v>0</v>
      </c>
      <c r="G202" s="67">
        <f>'2025'!B201</f>
        <v>0</v>
      </c>
      <c r="H202" s="81">
        <f>'2025'!M201</f>
        <v>0</v>
      </c>
      <c r="I202" s="1">
        <f>'2025'!N201</f>
        <v>0</v>
      </c>
      <c r="J202" s="43"/>
      <c r="K202" s="43"/>
    </row>
    <row r="203" spans="1:11" x14ac:dyDescent="0.25">
      <c r="A203" s="81">
        <f>'2025'!A203</f>
        <v>207</v>
      </c>
      <c r="B203" s="75">
        <f>'2025'!E202</f>
        <v>0</v>
      </c>
      <c r="C203" s="1">
        <f>'2025'!F202</f>
        <v>0</v>
      </c>
      <c r="D203" s="43"/>
      <c r="E203" s="1">
        <f>'2025'!G202</f>
        <v>0</v>
      </c>
      <c r="F203" s="67">
        <f>'2025'!I202</f>
        <v>0</v>
      </c>
      <c r="G203" s="67">
        <f>'2025'!B202</f>
        <v>0</v>
      </c>
      <c r="H203" s="81">
        <f>'2025'!M202</f>
        <v>0</v>
      </c>
      <c r="I203" s="1">
        <f>'2025'!N202</f>
        <v>0</v>
      </c>
      <c r="J203" s="43"/>
      <c r="K203" s="43"/>
    </row>
    <row r="204" spans="1:11" x14ac:dyDescent="0.25">
      <c r="A204" s="81">
        <f>'2025'!A204</f>
        <v>0</v>
      </c>
      <c r="B204" s="75">
        <f>'2025'!E203</f>
        <v>0</v>
      </c>
      <c r="C204" s="1">
        <f>'2025'!F203</f>
        <v>0</v>
      </c>
      <c r="D204" s="43"/>
      <c r="E204" s="1">
        <f>'2025'!G203</f>
        <v>0</v>
      </c>
      <c r="F204" s="67">
        <f>'2025'!I203</f>
        <v>0</v>
      </c>
      <c r="G204" s="67">
        <f>'2025'!B203</f>
        <v>0</v>
      </c>
      <c r="H204" s="81">
        <f>'2025'!M203</f>
        <v>0</v>
      </c>
      <c r="I204" s="1">
        <f>'2025'!N203</f>
        <v>0</v>
      </c>
      <c r="J204" s="43"/>
      <c r="K204" s="43"/>
    </row>
    <row r="205" spans="1:11" x14ac:dyDescent="0.25">
      <c r="A205" s="81">
        <f>'2025'!A205</f>
        <v>0</v>
      </c>
      <c r="B205" s="75">
        <f>'2025'!E204</f>
        <v>0</v>
      </c>
      <c r="C205" s="1">
        <f>'2025'!F204</f>
        <v>0</v>
      </c>
      <c r="D205" s="43"/>
      <c r="E205" s="1">
        <f>'2025'!G204</f>
        <v>0</v>
      </c>
      <c r="F205" s="67">
        <f>'2025'!I204</f>
        <v>0</v>
      </c>
      <c r="G205" s="67">
        <f>'2025'!B204</f>
        <v>0</v>
      </c>
      <c r="H205" s="81">
        <f>'2025'!M204</f>
        <v>0</v>
      </c>
      <c r="I205" s="1">
        <f>'2025'!N204</f>
        <v>0</v>
      </c>
      <c r="J205" s="43"/>
      <c r="K205" s="43"/>
    </row>
    <row r="206" spans="1:11" x14ac:dyDescent="0.25">
      <c r="A206" s="81">
        <f>'2025'!A206</f>
        <v>0</v>
      </c>
      <c r="B206" s="75">
        <f>'2025'!E205</f>
        <v>0</v>
      </c>
      <c r="C206" s="1">
        <f>'2025'!F205</f>
        <v>0</v>
      </c>
      <c r="D206" s="43"/>
      <c r="E206" s="1">
        <f>'2025'!G205</f>
        <v>0</v>
      </c>
      <c r="F206" s="67">
        <f>'2025'!I205</f>
        <v>0</v>
      </c>
      <c r="G206" s="67">
        <f>'2025'!B205</f>
        <v>0</v>
      </c>
      <c r="H206" s="81">
        <f>'2025'!M205</f>
        <v>0</v>
      </c>
      <c r="I206" s="1">
        <f>'2025'!N205</f>
        <v>0</v>
      </c>
      <c r="J206" s="43"/>
      <c r="K206" s="43"/>
    </row>
    <row r="207" spans="1:11" x14ac:dyDescent="0.25">
      <c r="A207" s="81">
        <f>'2025'!A207</f>
        <v>0</v>
      </c>
      <c r="B207" s="75">
        <f>'2025'!E206</f>
        <v>0</v>
      </c>
      <c r="C207" s="1">
        <f>'2025'!F206</f>
        <v>0</v>
      </c>
      <c r="D207" s="43"/>
      <c r="E207" s="1">
        <f>'2025'!G206</f>
        <v>0</v>
      </c>
      <c r="F207" s="67">
        <f>'2025'!I206</f>
        <v>0</v>
      </c>
      <c r="G207" s="67">
        <f>'2025'!B206</f>
        <v>0</v>
      </c>
      <c r="H207" s="81">
        <f>'2025'!M206</f>
        <v>0</v>
      </c>
      <c r="I207" s="1">
        <f>'2025'!N206</f>
        <v>0</v>
      </c>
      <c r="J207" s="43"/>
      <c r="K207" s="43"/>
    </row>
    <row r="208" spans="1:11" x14ac:dyDescent="0.25">
      <c r="A208" s="81">
        <f>'2025'!A208</f>
        <v>0</v>
      </c>
      <c r="B208" s="75">
        <f>'2025'!E207</f>
        <v>0</v>
      </c>
      <c r="C208" s="1">
        <f>'2025'!F207</f>
        <v>0</v>
      </c>
      <c r="D208" s="43"/>
      <c r="E208" s="1">
        <f>'2025'!G207</f>
        <v>0</v>
      </c>
      <c r="F208" s="67">
        <f>'2025'!I207</f>
        <v>0</v>
      </c>
      <c r="G208" s="67">
        <f>'2025'!B207</f>
        <v>0</v>
      </c>
      <c r="H208" s="81">
        <f>'2025'!M207</f>
        <v>0</v>
      </c>
      <c r="I208" s="1">
        <f>'2025'!N207</f>
        <v>0</v>
      </c>
      <c r="J208" s="43"/>
      <c r="K208" s="43"/>
    </row>
    <row r="209" spans="1:11" x14ac:dyDescent="0.25">
      <c r="A209" s="81">
        <f>'2025'!A209</f>
        <v>0</v>
      </c>
      <c r="B209" s="75">
        <f>'2025'!E208</f>
        <v>0</v>
      </c>
      <c r="C209" s="1">
        <f>'2025'!F208</f>
        <v>0</v>
      </c>
      <c r="D209" s="43"/>
      <c r="E209" s="1">
        <f>'2025'!G208</f>
        <v>0</v>
      </c>
      <c r="F209" s="67">
        <f>'2025'!I208</f>
        <v>0</v>
      </c>
      <c r="G209" s="67">
        <f>'2025'!B208</f>
        <v>0</v>
      </c>
      <c r="H209" s="81">
        <f>'2025'!M208</f>
        <v>0</v>
      </c>
      <c r="I209" s="1">
        <f>'2025'!N208</f>
        <v>0</v>
      </c>
      <c r="J209" s="43"/>
      <c r="K209" s="43"/>
    </row>
    <row r="210" spans="1:11" x14ac:dyDescent="0.25">
      <c r="A210" s="81">
        <f>'2025'!A210</f>
        <v>0</v>
      </c>
      <c r="B210" s="43"/>
      <c r="C210" s="1"/>
      <c r="D210" s="43"/>
      <c r="E210" s="1">
        <f>'2025'!G209</f>
        <v>0</v>
      </c>
      <c r="F210" s="75"/>
      <c r="G210" s="67">
        <f>'2025'!B209</f>
        <v>0</v>
      </c>
      <c r="H210" s="81">
        <f>'2025'!M209</f>
        <v>0</v>
      </c>
      <c r="I210" s="1">
        <f>'2025'!N209</f>
        <v>0</v>
      </c>
      <c r="J210" s="43"/>
      <c r="K210" s="43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0"/>
  <sheetViews>
    <sheetView topLeftCell="A17" zoomScale="80" zoomScaleNormal="80" workbookViewId="0">
      <selection activeCell="D128" sqref="D128:D137"/>
    </sheetView>
  </sheetViews>
  <sheetFormatPr baseColWidth="10" defaultRowHeight="15" x14ac:dyDescent="0.25"/>
  <cols>
    <col min="2" max="2" width="37.28515625" customWidth="1"/>
    <col min="3" max="3" width="23.85546875" customWidth="1"/>
    <col min="4" max="4" width="8.7109375" customWidth="1"/>
    <col min="5" max="7" width="29.140625" customWidth="1"/>
    <col min="8" max="9" width="16.5703125" customWidth="1"/>
    <col min="10" max="11" width="29.140625" customWidth="1"/>
  </cols>
  <sheetData>
    <row r="1" spans="1:11" x14ac:dyDescent="0.25">
      <c r="A1" s="170" t="s">
        <v>99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45" customHeight="1" x14ac:dyDescent="0.25">
      <c r="A2" s="1" t="s">
        <v>0</v>
      </c>
      <c r="B2" s="72" t="s">
        <v>4</v>
      </c>
      <c r="C2" s="72" t="s">
        <v>5</v>
      </c>
      <c r="D2" s="73" t="s">
        <v>100</v>
      </c>
      <c r="E2" s="73" t="s">
        <v>101</v>
      </c>
      <c r="F2" s="74" t="s">
        <v>102</v>
      </c>
      <c r="G2" s="74" t="s">
        <v>103</v>
      </c>
      <c r="H2" s="73" t="s">
        <v>104</v>
      </c>
      <c r="I2" s="73" t="s">
        <v>105</v>
      </c>
      <c r="J2" s="73" t="s">
        <v>106</v>
      </c>
      <c r="K2" s="73" t="s">
        <v>107</v>
      </c>
    </row>
    <row r="3" spans="1:11" x14ac:dyDescent="0.25">
      <c r="A3" s="43">
        <f>'2025'!A4</f>
        <v>1</v>
      </c>
      <c r="B3" s="43">
        <f>'2025'!E4</f>
        <v>0</v>
      </c>
      <c r="C3" s="43">
        <f>'2025'!F4</f>
        <v>0</v>
      </c>
      <c r="D3" s="43" t="s">
        <v>110</v>
      </c>
      <c r="E3" s="43" t="str">
        <f>'2025'!G4</f>
        <v>CHILLAN VIEJO</v>
      </c>
      <c r="F3" s="75">
        <f>'2025'!I4</f>
        <v>0</v>
      </c>
      <c r="G3" s="75">
        <f>'2025'!B4</f>
        <v>45901</v>
      </c>
      <c r="H3" s="43" t="str">
        <f>'2025'!M4</f>
        <v>FEMENINO</v>
      </c>
      <c r="I3" s="43">
        <f>'2025'!N4</f>
        <v>3450</v>
      </c>
      <c r="J3" s="43"/>
      <c r="K3" s="43" t="str">
        <f>'2025'!AR4</f>
        <v>RECUPERACION</v>
      </c>
    </row>
    <row r="4" spans="1:11" x14ac:dyDescent="0.25">
      <c r="A4" s="43">
        <f>'2025'!A5</f>
        <v>2</v>
      </c>
      <c r="B4" s="43">
        <f>'2025'!E5</f>
        <v>0</v>
      </c>
      <c r="C4" s="43">
        <f>'2025'!F5</f>
        <v>0</v>
      </c>
      <c r="D4" s="43" t="s">
        <v>110</v>
      </c>
      <c r="E4" s="43" t="str">
        <f>'2025'!G5</f>
        <v xml:space="preserve">CHILLAN </v>
      </c>
      <c r="F4" s="75">
        <f>'2025'!I5</f>
        <v>0</v>
      </c>
      <c r="G4" s="75">
        <f>'2025'!B5</f>
        <v>45901</v>
      </c>
      <c r="H4" s="43" t="str">
        <f>'2025'!M5</f>
        <v>FEMENINO</v>
      </c>
      <c r="I4" s="43">
        <f>'2025'!N5</f>
        <v>3350</v>
      </c>
      <c r="J4" s="43"/>
      <c r="K4" s="43" t="str">
        <f>'2025'!AR5</f>
        <v>RECUPERACION</v>
      </c>
    </row>
    <row r="5" spans="1:11" x14ac:dyDescent="0.25">
      <c r="A5" s="43">
        <f>'2025'!A6</f>
        <v>3</v>
      </c>
      <c r="B5" s="43">
        <f>'2025'!E6</f>
        <v>0</v>
      </c>
      <c r="C5" s="43">
        <f>'2025'!F6</f>
        <v>0</v>
      </c>
      <c r="D5" s="43" t="s">
        <v>110</v>
      </c>
      <c r="E5" s="43" t="str">
        <f>'2025'!G6</f>
        <v>CHILLAN</v>
      </c>
      <c r="F5" s="75">
        <f>'2025'!I6</f>
        <v>0</v>
      </c>
      <c r="G5" s="75">
        <f>'2025'!B6</f>
        <v>45901</v>
      </c>
      <c r="H5" s="43" t="str">
        <f>'2025'!M6</f>
        <v>MASCULINO</v>
      </c>
      <c r="I5" s="43">
        <f>'2025'!N6</f>
        <v>3270</v>
      </c>
      <c r="J5" s="43"/>
      <c r="K5" s="43" t="str">
        <f>'2025'!AR6</f>
        <v>TIM NEO</v>
      </c>
    </row>
    <row r="6" spans="1:11" x14ac:dyDescent="0.25">
      <c r="A6" s="43">
        <f>'2025'!A7</f>
        <v>4</v>
      </c>
      <c r="B6" s="43">
        <f>'2025'!E7</f>
        <v>0</v>
      </c>
      <c r="C6" s="43">
        <f>'2025'!F7</f>
        <v>0</v>
      </c>
      <c r="D6" s="43" t="s">
        <v>110</v>
      </c>
      <c r="E6" s="43" t="str">
        <f>'2025'!G7</f>
        <v>CHILLAN</v>
      </c>
      <c r="F6" s="75">
        <f>'2025'!I7</f>
        <v>0</v>
      </c>
      <c r="G6" s="75">
        <f>'2025'!B7</f>
        <v>45901</v>
      </c>
      <c r="H6" s="43" t="str">
        <f>'2025'!M7</f>
        <v>MASCULINO</v>
      </c>
      <c r="I6" s="43">
        <f>'2025'!N7</f>
        <v>2470</v>
      </c>
      <c r="J6" s="43"/>
      <c r="K6" s="43" t="str">
        <f>'2025'!AR7</f>
        <v>RECUPERACION</v>
      </c>
    </row>
    <row r="7" spans="1:11" x14ac:dyDescent="0.25">
      <c r="A7" s="43">
        <f>'2025'!A8</f>
        <v>5</v>
      </c>
      <c r="B7" s="43">
        <f>'2025'!E8</f>
        <v>0</v>
      </c>
      <c r="C7" s="43">
        <f>'2025'!F8</f>
        <v>0</v>
      </c>
      <c r="D7" s="43" t="s">
        <v>110</v>
      </c>
      <c r="E7" s="43" t="str">
        <f>'2025'!G8</f>
        <v>PORTEZUELO</v>
      </c>
      <c r="F7" s="75">
        <f>'2025'!I8</f>
        <v>0</v>
      </c>
      <c r="G7" s="75">
        <f>'2025'!B8</f>
        <v>45902</v>
      </c>
      <c r="H7" s="43" t="str">
        <f>'2025'!M8</f>
        <v>FEMENINO</v>
      </c>
      <c r="I7" s="43">
        <f>'2025'!N8</f>
        <v>4030</v>
      </c>
      <c r="J7" s="43"/>
      <c r="K7" s="43" t="str">
        <f>'2025'!AR8</f>
        <v>SALA</v>
      </c>
    </row>
    <row r="8" spans="1:11" x14ac:dyDescent="0.25">
      <c r="A8" s="43">
        <f>'2025'!A9</f>
        <v>6</v>
      </c>
      <c r="B8" s="43">
        <f>'2025'!E9</f>
        <v>0</v>
      </c>
      <c r="C8" s="43">
        <f>'2025'!F9</f>
        <v>0</v>
      </c>
      <c r="D8" s="43" t="s">
        <v>110</v>
      </c>
      <c r="E8" s="43" t="str">
        <f>'2025'!G9</f>
        <v>SAN IGNACIO</v>
      </c>
      <c r="F8" s="75">
        <f>'2025'!I9</f>
        <v>0</v>
      </c>
      <c r="G8" s="75">
        <f>'2025'!B9</f>
        <v>45902</v>
      </c>
      <c r="H8" s="43" t="str">
        <f>'2025'!M9</f>
        <v>FEMENINO</v>
      </c>
      <c r="I8" s="43">
        <f>'2025'!N9</f>
        <v>3660</v>
      </c>
      <c r="J8" s="43"/>
      <c r="K8" s="43" t="str">
        <f>'2025'!AR9</f>
        <v>SALA</v>
      </c>
    </row>
    <row r="9" spans="1:11" x14ac:dyDescent="0.25">
      <c r="A9" s="43">
        <f>'2025'!A10</f>
        <v>7</v>
      </c>
      <c r="B9" s="43">
        <f>'2025'!E10</f>
        <v>0</v>
      </c>
      <c r="C9" s="43">
        <f>'2025'!F10</f>
        <v>0</v>
      </c>
      <c r="D9" s="43" t="s">
        <v>110</v>
      </c>
      <c r="E9" s="43" t="str">
        <f>'2025'!G10</f>
        <v>CHILLAN</v>
      </c>
      <c r="F9" s="75">
        <f>'2025'!I10</f>
        <v>0</v>
      </c>
      <c r="G9" s="75">
        <f>'2025'!B10</f>
        <v>45902</v>
      </c>
      <c r="H9" s="43" t="str">
        <f>'2025'!M10</f>
        <v>MASCULINO</v>
      </c>
      <c r="I9" s="43">
        <f>'2025'!N10</f>
        <v>2410</v>
      </c>
      <c r="J9" s="43"/>
      <c r="K9" s="43" t="str">
        <f>'2025'!AR10</f>
        <v xml:space="preserve">SALA </v>
      </c>
    </row>
    <row r="10" spans="1:11" x14ac:dyDescent="0.25">
      <c r="A10" s="43">
        <f>'2025'!A11</f>
        <v>8</v>
      </c>
      <c r="B10" s="43">
        <f>'2025'!E11</f>
        <v>0</v>
      </c>
      <c r="C10" s="43">
        <f>'2025'!F11</f>
        <v>0</v>
      </c>
      <c r="D10" s="43" t="s">
        <v>110</v>
      </c>
      <c r="E10" s="43" t="str">
        <f>'2025'!G11</f>
        <v>CHILLAN</v>
      </c>
      <c r="F10" s="75">
        <f>'2025'!I11</f>
        <v>0</v>
      </c>
      <c r="G10" s="75">
        <f>'2025'!B11</f>
        <v>45903</v>
      </c>
      <c r="H10" s="43" t="str">
        <f>'2025'!M11</f>
        <v>MASCULINO</v>
      </c>
      <c r="I10" s="43">
        <f>'2025'!N11</f>
        <v>3875</v>
      </c>
      <c r="J10" s="43"/>
      <c r="K10" s="43" t="str">
        <f>'2025'!AR11</f>
        <v>SALA</v>
      </c>
    </row>
    <row r="11" spans="1:11" x14ac:dyDescent="0.25">
      <c r="A11" s="43">
        <f>'2025'!A12</f>
        <v>9</v>
      </c>
      <c r="B11" s="43">
        <f>'2025'!E12</f>
        <v>0</v>
      </c>
      <c r="C11" s="43">
        <f>'2025'!F12</f>
        <v>0</v>
      </c>
      <c r="D11" s="43" t="s">
        <v>111</v>
      </c>
      <c r="E11" s="43" t="str">
        <f>'2025'!G12</f>
        <v>BULNES</v>
      </c>
      <c r="F11" s="75">
        <f>'2025'!I12</f>
        <v>0</v>
      </c>
      <c r="G11" s="75">
        <f>'2025'!B12</f>
        <v>45903</v>
      </c>
      <c r="H11" s="43" t="str">
        <f>'2025'!M12</f>
        <v>FEMENINO</v>
      </c>
      <c r="I11" s="43">
        <f>'2025'!N12</f>
        <v>3820</v>
      </c>
      <c r="J11" s="43"/>
      <c r="K11" s="43" t="str">
        <f>'2025'!AR12</f>
        <v>RECUPERACION</v>
      </c>
    </row>
    <row r="12" spans="1:11" x14ac:dyDescent="0.25">
      <c r="A12" s="43">
        <f>'2025'!A13</f>
        <v>10</v>
      </c>
      <c r="B12" s="43">
        <f>'2025'!E13</f>
        <v>0</v>
      </c>
      <c r="C12" s="43">
        <f>'2025'!F13</f>
        <v>0</v>
      </c>
      <c r="D12" s="43" t="s">
        <v>110</v>
      </c>
      <c r="E12" s="43" t="str">
        <f>'2025'!G13</f>
        <v>QUILLON</v>
      </c>
      <c r="F12" s="75">
        <f>'2025'!I13</f>
        <v>0</v>
      </c>
      <c r="G12" s="75">
        <f>'2025'!B13</f>
        <v>45903</v>
      </c>
      <c r="H12" s="43" t="str">
        <f>'2025'!M13</f>
        <v>MASCULINO</v>
      </c>
      <c r="I12" s="43">
        <f>'2025'!N13</f>
        <v>3310</v>
      </c>
      <c r="J12" s="43"/>
      <c r="K12" s="43" t="str">
        <f>'2025'!AR13</f>
        <v>SALA</v>
      </c>
    </row>
    <row r="13" spans="1:11" x14ac:dyDescent="0.25">
      <c r="A13" s="43">
        <f>'2025'!A14</f>
        <v>11</v>
      </c>
      <c r="B13" s="43">
        <f>'2025'!E14</f>
        <v>0</v>
      </c>
      <c r="C13" s="43">
        <f>'2025'!F14</f>
        <v>0</v>
      </c>
      <c r="D13" s="43" t="s">
        <v>110</v>
      </c>
      <c r="E13" s="43" t="str">
        <f>'2025'!G14</f>
        <v>COIHUECO</v>
      </c>
      <c r="F13" s="75">
        <f>'2025'!I14</f>
        <v>0</v>
      </c>
      <c r="G13" s="75">
        <f>'2025'!B14</f>
        <v>45903</v>
      </c>
      <c r="H13" s="43" t="str">
        <f>'2025'!M14</f>
        <v>MASCULINO</v>
      </c>
      <c r="I13" s="43">
        <f>'2025'!N14</f>
        <v>3330</v>
      </c>
      <c r="J13" s="43"/>
      <c r="K13" s="43" t="str">
        <f>'2025'!AR14</f>
        <v>SALA</v>
      </c>
    </row>
    <row r="14" spans="1:11" x14ac:dyDescent="0.25">
      <c r="A14" s="43">
        <f>'2025'!A15</f>
        <v>12</v>
      </c>
      <c r="B14" s="43">
        <f>'2025'!E15</f>
        <v>0</v>
      </c>
      <c r="C14" s="43">
        <f>'2025'!F15</f>
        <v>0</v>
      </c>
      <c r="D14" s="43" t="s">
        <v>110</v>
      </c>
      <c r="E14" s="43" t="str">
        <f>'2025'!G15</f>
        <v>YUNGAY</v>
      </c>
      <c r="F14" s="75">
        <f>'2025'!I15</f>
        <v>0</v>
      </c>
      <c r="G14" s="75">
        <f>'2025'!B15</f>
        <v>45904</v>
      </c>
      <c r="H14" s="43" t="str">
        <f>'2025'!M15</f>
        <v>MASCULINO</v>
      </c>
      <c r="I14" s="43">
        <f>'2025'!N15</f>
        <v>2350</v>
      </c>
      <c r="J14" s="43"/>
      <c r="K14" s="43" t="str">
        <f>'2025'!AR15</f>
        <v>RECUPERACION</v>
      </c>
    </row>
    <row r="15" spans="1:11" x14ac:dyDescent="0.25">
      <c r="A15" s="43">
        <f>'2025'!A16</f>
        <v>13</v>
      </c>
      <c r="B15" s="43">
        <f>'2025'!E16</f>
        <v>0</v>
      </c>
      <c r="C15" s="43">
        <f>'2025'!F16</f>
        <v>0</v>
      </c>
      <c r="D15" s="43" t="s">
        <v>110</v>
      </c>
      <c r="E15" s="43" t="str">
        <f>'2025'!G16</f>
        <v>CHILLAN</v>
      </c>
      <c r="F15" s="75">
        <f>'2025'!I16</f>
        <v>0</v>
      </c>
      <c r="G15" s="75">
        <f>'2025'!B16</f>
        <v>45904</v>
      </c>
      <c r="H15" s="43" t="str">
        <f>'2025'!M16</f>
        <v>MASCULINO</v>
      </c>
      <c r="I15" s="43">
        <f>'2025'!N16</f>
        <v>2250</v>
      </c>
      <c r="J15" s="43"/>
      <c r="K15" s="43" t="str">
        <f>'2025'!AR16</f>
        <v>RECUPERACION</v>
      </c>
    </row>
    <row r="16" spans="1:11" x14ac:dyDescent="0.25">
      <c r="A16" s="43">
        <f>'2025'!A17</f>
        <v>14</v>
      </c>
      <c r="B16" s="43">
        <f>'2025'!E17</f>
        <v>0</v>
      </c>
      <c r="C16" s="43">
        <f>'2025'!F17</f>
        <v>0</v>
      </c>
      <c r="D16" s="43" t="s">
        <v>110</v>
      </c>
      <c r="E16" s="43" t="str">
        <f>'2025'!G17</f>
        <v>CHILLAN</v>
      </c>
      <c r="F16" s="75">
        <f>'2025'!I17</f>
        <v>0</v>
      </c>
      <c r="G16" s="75">
        <f>'2025'!B17</f>
        <v>45904</v>
      </c>
      <c r="H16" s="43" t="str">
        <f>'2025'!M17</f>
        <v>FEMENINO</v>
      </c>
      <c r="I16" s="43">
        <f>'2025'!N17</f>
        <v>3095</v>
      </c>
      <c r="J16" s="43"/>
      <c r="K16" s="43" t="str">
        <f>'2025'!AR17</f>
        <v>SALA</v>
      </c>
    </row>
    <row r="17" spans="1:11" x14ac:dyDescent="0.25">
      <c r="A17" s="43">
        <f>'2025'!A18</f>
        <v>15</v>
      </c>
      <c r="B17" s="43">
        <f>'2025'!E18</f>
        <v>0</v>
      </c>
      <c r="C17" s="43">
        <f>'2025'!F18</f>
        <v>0</v>
      </c>
      <c r="D17" s="43" t="s">
        <v>110</v>
      </c>
      <c r="E17" s="43" t="str">
        <f>'2025'!G18</f>
        <v>CHILLAN</v>
      </c>
      <c r="F17" s="75">
        <f>'2025'!I18</f>
        <v>0</v>
      </c>
      <c r="G17" s="75">
        <f>'2025'!B18</f>
        <v>45904</v>
      </c>
      <c r="H17" s="43" t="str">
        <f>'2025'!M18</f>
        <v>FEMENINO</v>
      </c>
      <c r="I17" s="43">
        <f>'2025'!N18</f>
        <v>2865</v>
      </c>
      <c r="J17" s="43"/>
      <c r="K17" s="43" t="str">
        <f>'2025'!AR18</f>
        <v>SALA</v>
      </c>
    </row>
    <row r="18" spans="1:11" x14ac:dyDescent="0.25">
      <c r="A18" s="43">
        <f>'2025'!A19</f>
        <v>16</v>
      </c>
      <c r="B18" s="43">
        <f>'2025'!E19</f>
        <v>0</v>
      </c>
      <c r="C18" s="43">
        <f>'2025'!F19</f>
        <v>0</v>
      </c>
      <c r="D18" s="43" t="s">
        <v>110</v>
      </c>
      <c r="E18" s="43" t="str">
        <f>'2025'!G19</f>
        <v>CHILLAN</v>
      </c>
      <c r="F18" s="75">
        <f>'2025'!I19</f>
        <v>0</v>
      </c>
      <c r="G18" s="75">
        <f>'2025'!B19</f>
        <v>45904</v>
      </c>
      <c r="H18" s="43" t="str">
        <f>'2025'!M19</f>
        <v>FEMENINO</v>
      </c>
      <c r="I18" s="43">
        <f>'2025'!N19</f>
        <v>2740</v>
      </c>
      <c r="J18" s="43"/>
      <c r="K18" s="43" t="str">
        <f>'2025'!AR19</f>
        <v>RECUPERACION</v>
      </c>
    </row>
    <row r="19" spans="1:11" x14ac:dyDescent="0.25">
      <c r="A19" s="43">
        <f>'2025'!A20</f>
        <v>17</v>
      </c>
      <c r="B19" s="43">
        <f>'2025'!E20</f>
        <v>0</v>
      </c>
      <c r="C19" s="43">
        <f>'2025'!F20</f>
        <v>0</v>
      </c>
      <c r="D19" s="43" t="s">
        <v>111</v>
      </c>
      <c r="E19" s="43" t="str">
        <f>'2025'!G20</f>
        <v>CHILLAN</v>
      </c>
      <c r="F19" s="75">
        <f>'2025'!I20</f>
        <v>0</v>
      </c>
      <c r="G19" s="75">
        <f>'2025'!B20</f>
        <v>45904</v>
      </c>
      <c r="H19" s="43" t="str">
        <f>'2025'!M20</f>
        <v>MASCULINO</v>
      </c>
      <c r="I19" s="43">
        <f>'2025'!N20</f>
        <v>3260</v>
      </c>
      <c r="J19" s="43"/>
      <c r="K19" s="43" t="str">
        <f>'2025'!AR20</f>
        <v>SALA</v>
      </c>
    </row>
    <row r="20" spans="1:11" x14ac:dyDescent="0.25">
      <c r="A20" s="43">
        <f>'2025'!A21</f>
        <v>18</v>
      </c>
      <c r="B20" s="43">
        <f>'2025'!E21</f>
        <v>0</v>
      </c>
      <c r="C20" s="43">
        <f>'2025'!F21</f>
        <v>0</v>
      </c>
      <c r="D20" s="43" t="s">
        <v>110</v>
      </c>
      <c r="E20" s="43" t="str">
        <f>'2025'!G21</f>
        <v>CHILLÁN VIEJO</v>
      </c>
      <c r="F20" s="75">
        <f>'2025'!I21</f>
        <v>0</v>
      </c>
      <c r="G20" s="75">
        <f>'2025'!B21</f>
        <v>45904</v>
      </c>
      <c r="H20" s="43" t="str">
        <f>'2025'!M21</f>
        <v>FEMENINO</v>
      </c>
      <c r="I20" s="43">
        <f>'2025'!N21</f>
        <v>3757</v>
      </c>
      <c r="J20" s="43"/>
      <c r="K20" s="43" t="str">
        <f>'2025'!AR21</f>
        <v>RECUPERACION</v>
      </c>
    </row>
    <row r="21" spans="1:11" x14ac:dyDescent="0.25">
      <c r="A21" s="43">
        <f>'2025'!A22</f>
        <v>19</v>
      </c>
      <c r="B21" s="43">
        <f>'2025'!E22</f>
        <v>0</v>
      </c>
      <c r="C21" s="43">
        <f>'2025'!F22</f>
        <v>0</v>
      </c>
      <c r="D21" s="43" t="s">
        <v>110</v>
      </c>
      <c r="E21" s="43" t="str">
        <f>'2025'!G22</f>
        <v>CHILLAN VIEJO</v>
      </c>
      <c r="F21" s="75">
        <f>'2025'!I22</f>
        <v>0</v>
      </c>
      <c r="G21" s="75">
        <f>'2025'!B22</f>
        <v>45905</v>
      </c>
      <c r="H21" s="43" t="str">
        <f>'2025'!M22</f>
        <v>FEMENINO</v>
      </c>
      <c r="I21" s="43">
        <f>'2025'!N22</f>
        <v>2970</v>
      </c>
      <c r="J21" s="43"/>
      <c r="K21" s="43" t="str">
        <f>'2025'!AR22</f>
        <v>SALA</v>
      </c>
    </row>
    <row r="22" spans="1:11" x14ac:dyDescent="0.25">
      <c r="A22" s="43">
        <f>'2025'!A23</f>
        <v>20</v>
      </c>
      <c r="B22" s="43">
        <f>'2025'!E23</f>
        <v>0</v>
      </c>
      <c r="C22" s="43">
        <f>'2025'!F23</f>
        <v>0</v>
      </c>
      <c r="D22" s="43" t="s">
        <v>110</v>
      </c>
      <c r="E22" s="43" t="str">
        <f>'2025'!G23</f>
        <v>CHILLAN VIEJO</v>
      </c>
      <c r="F22" s="75">
        <f>'2025'!I23</f>
        <v>0</v>
      </c>
      <c r="G22" s="75">
        <f>'2025'!B23</f>
        <v>45905</v>
      </c>
      <c r="H22" s="43" t="str">
        <f>'2025'!M23</f>
        <v>MASCULINO</v>
      </c>
      <c r="I22" s="43">
        <f>'2025'!N23</f>
        <v>3390</v>
      </c>
      <c r="J22" s="43"/>
      <c r="K22" s="43" t="str">
        <f>'2025'!AR23</f>
        <v>RECUPERACION</v>
      </c>
    </row>
    <row r="23" spans="1:11" x14ac:dyDescent="0.25">
      <c r="A23" s="43">
        <f>'2025'!A24</f>
        <v>21</v>
      </c>
      <c r="B23" s="43">
        <f>'2025'!E24</f>
        <v>0</v>
      </c>
      <c r="C23" s="43">
        <f>'2025'!F24</f>
        <v>0</v>
      </c>
      <c r="D23" s="43" t="s">
        <v>110</v>
      </c>
      <c r="E23" s="43" t="str">
        <f>'2025'!G24</f>
        <v>CHILLAN</v>
      </c>
      <c r="F23" s="75">
        <f>'2025'!I24</f>
        <v>0</v>
      </c>
      <c r="G23" s="75">
        <f>'2025'!B24</f>
        <v>45905</v>
      </c>
      <c r="H23" s="43" t="str">
        <f>'2025'!M24</f>
        <v>FEMENINO</v>
      </c>
      <c r="I23" s="43">
        <f>'2025'!N24</f>
        <v>3130</v>
      </c>
      <c r="J23" s="43"/>
      <c r="K23" s="43" t="str">
        <f>'2025'!AR24</f>
        <v>RECUPERACION</v>
      </c>
    </row>
    <row r="24" spans="1:11" x14ac:dyDescent="0.25">
      <c r="A24" s="43">
        <f>'2025'!A25</f>
        <v>22</v>
      </c>
      <c r="B24" s="43">
        <f>'2025'!E25</f>
        <v>0</v>
      </c>
      <c r="C24" s="43">
        <f>'2025'!F25</f>
        <v>0</v>
      </c>
      <c r="D24" s="43" t="s">
        <v>110</v>
      </c>
      <c r="E24" s="43" t="str">
        <f>'2025'!G25</f>
        <v>EL CARMEN</v>
      </c>
      <c r="F24" s="75">
        <f>'2025'!I25</f>
        <v>0</v>
      </c>
      <c r="G24" s="75">
        <f>'2025'!B25</f>
        <v>45905</v>
      </c>
      <c r="H24" s="43" t="str">
        <f>'2025'!M25</f>
        <v>MASCULINO</v>
      </c>
      <c r="I24" s="43">
        <f>'2025'!N25</f>
        <v>3360</v>
      </c>
      <c r="J24" s="43"/>
      <c r="K24" s="43" t="str">
        <f>'2025'!AR25</f>
        <v>SALA</v>
      </c>
    </row>
    <row r="25" spans="1:11" x14ac:dyDescent="0.25">
      <c r="A25" s="43">
        <f>'2025'!A26</f>
        <v>23</v>
      </c>
      <c r="B25" s="43">
        <f>'2025'!E26</f>
        <v>0</v>
      </c>
      <c r="C25" s="43">
        <f>'2025'!F26</f>
        <v>0</v>
      </c>
      <c r="D25" s="43" t="s">
        <v>110</v>
      </c>
      <c r="E25" s="43" t="str">
        <f>'2025'!G26</f>
        <v>PUEBLO SECO</v>
      </c>
      <c r="F25" s="75">
        <f>'2025'!I26</f>
        <v>0</v>
      </c>
      <c r="G25" s="75">
        <f>'2025'!B26</f>
        <v>45905</v>
      </c>
      <c r="H25" s="43" t="str">
        <f>'2025'!M26</f>
        <v>FEMENINO</v>
      </c>
      <c r="I25" s="43">
        <f>'2025'!N26</f>
        <v>3370</v>
      </c>
      <c r="J25" s="43"/>
      <c r="K25" s="43" t="str">
        <f>'2025'!AR26</f>
        <v>SALA</v>
      </c>
    </row>
    <row r="26" spans="1:11" x14ac:dyDescent="0.25">
      <c r="A26" s="43">
        <f>'2025'!A27</f>
        <v>24</v>
      </c>
      <c r="B26" s="43">
        <f>'2025'!E27</f>
        <v>0</v>
      </c>
      <c r="C26" s="43">
        <f>'2025'!F27</f>
        <v>0</v>
      </c>
      <c r="D26" s="43" t="s">
        <v>110</v>
      </c>
      <c r="E26" s="43" t="str">
        <f>'2025'!G27</f>
        <v>CHILLAN</v>
      </c>
      <c r="F26" s="75">
        <f>'2025'!I27</f>
        <v>0</v>
      </c>
      <c r="G26" s="75">
        <f>'2025'!B27</f>
        <v>45905</v>
      </c>
      <c r="H26" s="43" t="str">
        <f>'2025'!M27</f>
        <v>FEMENINO</v>
      </c>
      <c r="I26" s="43">
        <f>'2025'!N27</f>
        <v>3360</v>
      </c>
      <c r="J26" s="43"/>
      <c r="K26" s="43" t="str">
        <f>'2025'!AR27</f>
        <v>RECUPERACION</v>
      </c>
    </row>
    <row r="27" spans="1:11" x14ac:dyDescent="0.25">
      <c r="A27" s="43">
        <f>'2025'!A28</f>
        <v>25</v>
      </c>
      <c r="B27" s="43">
        <f>'2025'!E28</f>
        <v>0</v>
      </c>
      <c r="C27" s="43">
        <f>'2025'!F28</f>
        <v>0</v>
      </c>
      <c r="D27" s="43" t="s">
        <v>115</v>
      </c>
      <c r="E27" s="43" t="str">
        <f>'2025'!G28</f>
        <v>BULNES</v>
      </c>
      <c r="F27" s="75">
        <f>'2025'!I28</f>
        <v>0</v>
      </c>
      <c r="G27" s="75">
        <f>'2025'!B28</f>
        <v>45783</v>
      </c>
      <c r="H27" s="43" t="str">
        <f>'2025'!M28</f>
        <v>FEMENINO</v>
      </c>
      <c r="I27" s="43">
        <f>'2025'!N28</f>
        <v>2820</v>
      </c>
      <c r="J27" s="43"/>
      <c r="K27" s="43" t="str">
        <f>'2025'!AR28</f>
        <v>SALA</v>
      </c>
    </row>
    <row r="28" spans="1:11" x14ac:dyDescent="0.25">
      <c r="A28" s="43" t="e">
        <f>'2025'!#REF!</f>
        <v>#REF!</v>
      </c>
      <c r="B28" s="43" t="e">
        <f>'2025'!#REF!</f>
        <v>#REF!</v>
      </c>
      <c r="C28" s="43" t="e">
        <f>'2025'!#REF!</f>
        <v>#REF!</v>
      </c>
      <c r="D28" s="43"/>
      <c r="E28" s="43" t="e">
        <f>'2025'!#REF!</f>
        <v>#REF!</v>
      </c>
      <c r="F28" s="75" t="e">
        <f>'2025'!#REF!</f>
        <v>#REF!</v>
      </c>
      <c r="G28" s="75" t="e">
        <f>'2025'!#REF!</f>
        <v>#REF!</v>
      </c>
      <c r="H28" s="43" t="e">
        <f>'2025'!#REF!</f>
        <v>#REF!</v>
      </c>
      <c r="I28" s="43" t="e">
        <f>'2025'!#REF!</f>
        <v>#REF!</v>
      </c>
      <c r="J28" s="43"/>
      <c r="K28" s="43" t="e">
        <f>'2025'!#REF!</f>
        <v>#REF!</v>
      </c>
    </row>
    <row r="29" spans="1:11" x14ac:dyDescent="0.25">
      <c r="A29" s="43">
        <f>'2025'!A30</f>
        <v>27</v>
      </c>
      <c r="B29" s="43">
        <f>'2025'!E30</f>
        <v>0</v>
      </c>
      <c r="C29" s="43">
        <f>'2025'!F30</f>
        <v>0</v>
      </c>
      <c r="D29" s="43"/>
      <c r="E29" s="43" t="str">
        <f>'2025'!G30</f>
        <v>CHILLAN</v>
      </c>
      <c r="F29" s="75">
        <f>'2025'!I30</f>
        <v>0</v>
      </c>
      <c r="G29" s="75">
        <f>'2025'!B30</f>
        <v>45907</v>
      </c>
      <c r="H29" s="43" t="str">
        <f>'2025'!M30</f>
        <v>MASCULINO</v>
      </c>
      <c r="I29" s="43">
        <f>'2025'!N30</f>
        <v>4170</v>
      </c>
      <c r="J29" s="43"/>
      <c r="K29" s="43" t="str">
        <f>'2025'!AR30</f>
        <v>RECUPERACION</v>
      </c>
    </row>
    <row r="30" spans="1:11" x14ac:dyDescent="0.25">
      <c r="A30" s="43">
        <f>'2025'!A31</f>
        <v>28</v>
      </c>
      <c r="B30" s="43">
        <f>'2025'!E31</f>
        <v>0</v>
      </c>
      <c r="C30" s="43">
        <f>'2025'!F31</f>
        <v>0</v>
      </c>
      <c r="D30" s="43"/>
      <c r="E30" s="43" t="str">
        <f>'2025'!G31</f>
        <v>RANQUIL</v>
      </c>
      <c r="F30" s="75">
        <f>'2025'!I31</f>
        <v>0</v>
      </c>
      <c r="G30" s="75">
        <f>'2025'!B31</f>
        <v>45907</v>
      </c>
      <c r="H30" s="43" t="str">
        <f>'2025'!M31</f>
        <v>FEMENINO</v>
      </c>
      <c r="I30" s="43">
        <f>'2025'!N31</f>
        <v>2780</v>
      </c>
      <c r="J30" s="43"/>
      <c r="K30" s="43" t="str">
        <f>'2025'!AR31</f>
        <v>SALA</v>
      </c>
    </row>
    <row r="31" spans="1:11" x14ac:dyDescent="0.25">
      <c r="A31" s="43">
        <f>'2025'!A32</f>
        <v>29</v>
      </c>
      <c r="B31" s="43">
        <f>'2025'!E32</f>
        <v>0</v>
      </c>
      <c r="C31" s="43">
        <f>'2025'!F32</f>
        <v>0</v>
      </c>
      <c r="D31" s="43"/>
      <c r="E31" s="43" t="str">
        <f>'2025'!G32</f>
        <v>CHILLAN</v>
      </c>
      <c r="F31" s="75">
        <f>'2025'!I32</f>
        <v>0</v>
      </c>
      <c r="G31" s="75">
        <f>'2025'!B32</f>
        <v>45908</v>
      </c>
      <c r="H31" s="43" t="str">
        <f>'2025'!M32</f>
        <v>MASCULINO</v>
      </c>
      <c r="I31" s="43">
        <f>'2025'!N32</f>
        <v>3235</v>
      </c>
      <c r="J31" s="43"/>
      <c r="K31" s="43" t="str">
        <f>'2025'!AR32</f>
        <v>SALA</v>
      </c>
    </row>
    <row r="32" spans="1:11" x14ac:dyDescent="0.25">
      <c r="A32" s="43">
        <f>'2025'!A33</f>
        <v>30</v>
      </c>
      <c r="B32" s="43">
        <f>'2025'!E33</f>
        <v>0</v>
      </c>
      <c r="C32" s="43">
        <f>'2025'!F33</f>
        <v>0</v>
      </c>
      <c r="D32" s="43"/>
      <c r="E32" s="43" t="str">
        <f>'2025'!G33</f>
        <v>CHILLAN</v>
      </c>
      <c r="F32" s="75">
        <f>'2025'!I33</f>
        <v>0</v>
      </c>
      <c r="G32" s="75">
        <f>'2025'!B33</f>
        <v>45908</v>
      </c>
      <c r="H32" s="43" t="str">
        <f>'2025'!M33</f>
        <v>FEMENINO</v>
      </c>
      <c r="I32" s="43">
        <f>'2025'!N33</f>
        <v>3280</v>
      </c>
      <c r="J32" s="43"/>
      <c r="K32" s="43" t="str">
        <f>'2025'!AR33</f>
        <v>SALA</v>
      </c>
    </row>
    <row r="33" spans="1:11" x14ac:dyDescent="0.25">
      <c r="A33" s="43">
        <f>'2025'!A34</f>
        <v>31</v>
      </c>
      <c r="B33" s="43">
        <f>'2025'!E34</f>
        <v>0</v>
      </c>
      <c r="C33" s="43">
        <f>'2025'!F34</f>
        <v>0</v>
      </c>
      <c r="D33" s="43"/>
      <c r="E33" s="43" t="str">
        <f>'2025'!G34</f>
        <v>QUIRIHUE</v>
      </c>
      <c r="F33" s="75">
        <f>'2025'!I34</f>
        <v>0</v>
      </c>
      <c r="G33" s="75">
        <f>'2025'!B34</f>
        <v>45908</v>
      </c>
      <c r="H33" s="43" t="str">
        <f>'2025'!M34</f>
        <v>FEMENINO</v>
      </c>
      <c r="I33" s="43">
        <f>'2025'!N34</f>
        <v>3960</v>
      </c>
      <c r="J33" s="43"/>
      <c r="K33" s="43" t="str">
        <f>'2025'!AR34</f>
        <v>RECUPERACION</v>
      </c>
    </row>
    <row r="34" spans="1:11" x14ac:dyDescent="0.25">
      <c r="A34" s="43">
        <f>'2025'!A29</f>
        <v>26</v>
      </c>
      <c r="B34" s="43">
        <f>'2025'!E29</f>
        <v>0</v>
      </c>
      <c r="C34" s="43">
        <f>'2025'!F29</f>
        <v>0</v>
      </c>
      <c r="D34" s="43"/>
      <c r="E34" s="43" t="str">
        <f>'2025'!G29</f>
        <v>CHILLAN</v>
      </c>
      <c r="F34" s="75">
        <f>'2025'!I29</f>
        <v>0</v>
      </c>
      <c r="G34" s="75">
        <f>'2025'!B29</f>
        <v>45906</v>
      </c>
      <c r="H34" s="43" t="str">
        <f>'2025'!M29</f>
        <v>MASCULINO</v>
      </c>
      <c r="I34" s="43">
        <f>'2025'!N29</f>
        <v>2580</v>
      </c>
      <c r="J34" s="43"/>
      <c r="K34" s="43" t="str">
        <f>'2025'!AR29</f>
        <v>SALA</v>
      </c>
    </row>
    <row r="35" spans="1:11" x14ac:dyDescent="0.25">
      <c r="A35" s="43" t="e">
        <f>'2025'!#REF!</f>
        <v>#REF!</v>
      </c>
      <c r="B35" s="43">
        <f>'2025'!E36</f>
        <v>0</v>
      </c>
      <c r="C35" s="43">
        <f>'2025'!F36</f>
        <v>0</v>
      </c>
      <c r="D35" s="43"/>
      <c r="E35" s="43" t="str">
        <f>'2025'!G36</f>
        <v>PUEBLO SECO</v>
      </c>
      <c r="F35" s="75">
        <f>'2025'!I36</f>
        <v>0</v>
      </c>
      <c r="G35" s="75">
        <f>'2025'!B36</f>
        <v>45908</v>
      </c>
      <c r="H35" s="43" t="str">
        <f>'2025'!M36</f>
        <v>MASCULINO</v>
      </c>
      <c r="I35" s="43">
        <f>'2025'!N36</f>
        <v>3660</v>
      </c>
      <c r="J35" s="43"/>
      <c r="K35" s="43" t="str">
        <f>'2025'!AR36</f>
        <v>SALA</v>
      </c>
    </row>
    <row r="36" spans="1:11" x14ac:dyDescent="0.25">
      <c r="A36" s="43">
        <f>'2025'!A39</f>
        <v>36</v>
      </c>
      <c r="B36" s="43" t="e">
        <f>'2025'!#REF!</f>
        <v>#REF!</v>
      </c>
      <c r="C36" s="43" t="e">
        <f>'2025'!#REF!</f>
        <v>#REF!</v>
      </c>
      <c r="D36" s="43"/>
      <c r="E36" s="43" t="e">
        <f>'2025'!#REF!</f>
        <v>#REF!</v>
      </c>
      <c r="F36" s="75" t="e">
        <f>'2025'!#REF!</f>
        <v>#REF!</v>
      </c>
      <c r="G36" s="75" t="e">
        <f>'2025'!#REF!</f>
        <v>#REF!</v>
      </c>
      <c r="H36" s="43" t="e">
        <f>'2025'!#REF!</f>
        <v>#REF!</v>
      </c>
      <c r="I36" s="43" t="e">
        <f>'2025'!#REF!</f>
        <v>#REF!</v>
      </c>
      <c r="J36" s="43"/>
      <c r="K36" s="43" t="e">
        <f>'2025'!#REF!</f>
        <v>#REF!</v>
      </c>
    </row>
    <row r="37" spans="1:11" x14ac:dyDescent="0.25">
      <c r="A37" s="43">
        <f>'2025'!A40</f>
        <v>37</v>
      </c>
      <c r="B37" s="43">
        <f>'2025'!E39</f>
        <v>0</v>
      </c>
      <c r="C37" s="43">
        <f>'2025'!F39</f>
        <v>0</v>
      </c>
      <c r="D37" s="43"/>
      <c r="E37" s="43" t="str">
        <f>'2025'!G39</f>
        <v>CHILLAN</v>
      </c>
      <c r="F37" s="75">
        <f>'2025'!I39</f>
        <v>0</v>
      </c>
      <c r="G37" s="75">
        <f>'2025'!B39</f>
        <v>45908</v>
      </c>
      <c r="H37" s="43" t="str">
        <f>'2025'!M39</f>
        <v>MASCULINO</v>
      </c>
      <c r="I37" s="43">
        <f>'2025'!N39</f>
        <v>880</v>
      </c>
      <c r="J37" s="43"/>
      <c r="K37" s="43" t="str">
        <f>'2025'!AR39</f>
        <v>UCI</v>
      </c>
    </row>
    <row r="38" spans="1:11" x14ac:dyDescent="0.25">
      <c r="A38" s="43">
        <f>'2025'!A41</f>
        <v>38</v>
      </c>
      <c r="B38" s="43">
        <f>'2025'!E40</f>
        <v>0</v>
      </c>
      <c r="C38" s="43">
        <f>'2025'!F40</f>
        <v>0</v>
      </c>
      <c r="D38" s="43"/>
      <c r="E38" s="43" t="str">
        <f>'2025'!G40</f>
        <v>CHILLAN</v>
      </c>
      <c r="F38" s="75">
        <f>'2025'!I40</f>
        <v>0</v>
      </c>
      <c r="G38" s="75">
        <f>'2025'!B40</f>
        <v>45909</v>
      </c>
      <c r="H38" s="43" t="str">
        <f>'2025'!M40</f>
        <v>FEMENINO</v>
      </c>
      <c r="I38" s="43">
        <f>'2025'!N40</f>
        <v>3080</v>
      </c>
      <c r="J38" s="43"/>
      <c r="K38" s="43" t="str">
        <f>'2025'!AR40</f>
        <v>SALA</v>
      </c>
    </row>
    <row r="39" spans="1:11" x14ac:dyDescent="0.25">
      <c r="A39" s="43">
        <f>'2025'!A42</f>
        <v>39</v>
      </c>
      <c r="B39" s="43">
        <f>'2025'!E41</f>
        <v>0</v>
      </c>
      <c r="C39" s="43">
        <f>'2025'!F41</f>
        <v>0</v>
      </c>
      <c r="D39" s="43"/>
      <c r="E39" s="43" t="str">
        <f>'2025'!G41</f>
        <v>YUNGAY</v>
      </c>
      <c r="F39" s="75">
        <f>'2025'!I41</f>
        <v>0</v>
      </c>
      <c r="G39" s="75">
        <f>'2025'!B42</f>
        <v>45909</v>
      </c>
      <c r="H39" s="43" t="str">
        <f>'2025'!M41</f>
        <v>MASCULINO</v>
      </c>
      <c r="I39" s="43">
        <f>'2025'!N41</f>
        <v>2650</v>
      </c>
      <c r="J39" s="43"/>
      <c r="K39" s="43" t="str">
        <f>'2025'!AR41</f>
        <v>SALA</v>
      </c>
    </row>
    <row r="40" spans="1:11" x14ac:dyDescent="0.25">
      <c r="A40" s="43">
        <f>'2025'!A43</f>
        <v>40</v>
      </c>
      <c r="B40" s="43">
        <f>'2025'!E42</f>
        <v>0</v>
      </c>
      <c r="C40" s="43">
        <f>'2025'!F42</f>
        <v>0</v>
      </c>
      <c r="D40" s="43"/>
      <c r="E40" s="43" t="str">
        <f>'2025'!G42</f>
        <v>CHILLAN VIEJO</v>
      </c>
      <c r="F40" s="75">
        <f>'2025'!I42</f>
        <v>0</v>
      </c>
      <c r="G40" s="75" t="e">
        <f>'2025'!#REF!</f>
        <v>#REF!</v>
      </c>
      <c r="H40" s="43" t="str">
        <f>'2025'!M42</f>
        <v>FEMENINO</v>
      </c>
      <c r="I40" s="43">
        <f>'2025'!N42</f>
        <v>3290</v>
      </c>
      <c r="J40" s="43"/>
      <c r="K40" s="43" t="str">
        <f>'2025'!AR42</f>
        <v>RECUPERACION</v>
      </c>
    </row>
    <row r="41" spans="1:11" x14ac:dyDescent="0.25">
      <c r="A41" s="43">
        <f>'2025'!A44</f>
        <v>41</v>
      </c>
      <c r="B41" s="43">
        <f>'2025'!E43</f>
        <v>0</v>
      </c>
      <c r="C41" s="43">
        <f>'2025'!F43</f>
        <v>0</v>
      </c>
      <c r="D41" s="43"/>
      <c r="E41" s="43" t="str">
        <f>'2025'!G43</f>
        <v>CHILLAN</v>
      </c>
      <c r="F41" s="75">
        <f>'2025'!I43</f>
        <v>0</v>
      </c>
      <c r="G41" s="75">
        <f>'2025'!B43</f>
        <v>45909</v>
      </c>
      <c r="H41" s="43" t="str">
        <f>'2025'!M43</f>
        <v>FEMENINO</v>
      </c>
      <c r="I41" s="43">
        <f>'2025'!N43</f>
        <v>3535</v>
      </c>
      <c r="J41" s="43"/>
      <c r="K41" s="43" t="str">
        <f>'2025'!AR43</f>
        <v>SALA</v>
      </c>
    </row>
    <row r="42" spans="1:11" x14ac:dyDescent="0.25">
      <c r="A42" s="43">
        <f>'2025'!A45</f>
        <v>42</v>
      </c>
      <c r="B42" s="43">
        <f>'2025'!E44</f>
        <v>0</v>
      </c>
      <c r="C42" s="43">
        <f>'2025'!F44</f>
        <v>0</v>
      </c>
      <c r="D42" s="43"/>
      <c r="E42" s="43" t="str">
        <f>'2025'!G44</f>
        <v>CHILLAN</v>
      </c>
      <c r="F42" s="75">
        <f>'2025'!I44</f>
        <v>0</v>
      </c>
      <c r="G42" s="75">
        <f>'2025'!B44</f>
        <v>45909</v>
      </c>
      <c r="H42" s="43" t="str">
        <f>'2025'!M44</f>
        <v>MASCULINO</v>
      </c>
      <c r="I42" s="43">
        <f>'2025'!N44</f>
        <v>3720</v>
      </c>
      <c r="J42" s="43"/>
      <c r="K42" s="43" t="str">
        <f>'2025'!AR44</f>
        <v>SALA</v>
      </c>
    </row>
    <row r="43" spans="1:11" x14ac:dyDescent="0.25">
      <c r="A43" s="43">
        <f>'2025'!A46</f>
        <v>43</v>
      </c>
      <c r="B43" s="43">
        <f>'2025'!E45</f>
        <v>0</v>
      </c>
      <c r="C43" s="43">
        <f>'2025'!F45</f>
        <v>0</v>
      </c>
      <c r="D43" s="43"/>
      <c r="E43" s="43" t="str">
        <f>'2025'!G45</f>
        <v>COIHUECO</v>
      </c>
      <c r="F43" s="75">
        <f>'2025'!I45</f>
        <v>0</v>
      </c>
      <c r="G43" s="75">
        <f>'2025'!B45</f>
        <v>45910</v>
      </c>
      <c r="H43" s="43" t="str">
        <f>'2025'!M45</f>
        <v>MASCULINO</v>
      </c>
      <c r="I43" s="43">
        <f>'2025'!N45</f>
        <v>4190</v>
      </c>
      <c r="J43" s="43"/>
      <c r="K43" s="43" t="str">
        <f>'2025'!AR45</f>
        <v>SALA</v>
      </c>
    </row>
    <row r="44" spans="1:11" x14ac:dyDescent="0.25">
      <c r="A44" s="43">
        <f>'2025'!A47</f>
        <v>44</v>
      </c>
      <c r="B44" s="43">
        <f>'2025'!E46</f>
        <v>0</v>
      </c>
      <c r="C44" s="43">
        <f>'2025'!F46</f>
        <v>0</v>
      </c>
      <c r="D44" s="43"/>
      <c r="E44" s="43" t="str">
        <f>'2025'!G46</f>
        <v>EL CARMEN</v>
      </c>
      <c r="F44" s="75">
        <f>'2025'!I46</f>
        <v>0</v>
      </c>
      <c r="G44" s="75">
        <f>'2025'!B46</f>
        <v>45910</v>
      </c>
      <c r="H44" s="43" t="str">
        <f>'2025'!M46</f>
        <v>MASCULINO</v>
      </c>
      <c r="I44" s="43">
        <f>'2025'!N46</f>
        <v>4260</v>
      </c>
      <c r="J44" s="43"/>
      <c r="K44" s="43" t="str">
        <f>'2025'!AR46</f>
        <v>TIM NEO</v>
      </c>
    </row>
    <row r="45" spans="1:11" x14ac:dyDescent="0.25">
      <c r="A45" s="43">
        <f>'2025'!A49</f>
        <v>46</v>
      </c>
      <c r="B45" s="43">
        <f>'2025'!E48</f>
        <v>0</v>
      </c>
      <c r="C45" s="43">
        <f>'2025'!F48</f>
        <v>0</v>
      </c>
      <c r="D45" s="43"/>
      <c r="E45" s="43" t="str">
        <f>'2025'!G48</f>
        <v>BULNES</v>
      </c>
      <c r="F45" s="75">
        <f>'2025'!I48</f>
        <v>0</v>
      </c>
      <c r="G45" s="75">
        <f>'2025'!B48</f>
        <v>45910</v>
      </c>
      <c r="H45" s="43" t="str">
        <f>'2025'!M48</f>
        <v>FEMENINO</v>
      </c>
      <c r="I45" s="43">
        <f>'2025'!N48</f>
        <v>3110</v>
      </c>
      <c r="J45" s="43"/>
      <c r="K45" s="43" t="str">
        <f>'2025'!AR48</f>
        <v>SALA</v>
      </c>
    </row>
    <row r="46" spans="1:11" x14ac:dyDescent="0.25">
      <c r="A46" s="43"/>
      <c r="B46" s="43"/>
      <c r="C46" s="43"/>
      <c r="D46" s="43"/>
      <c r="E46" s="43"/>
      <c r="F46" s="75"/>
      <c r="G46" s="75"/>
      <c r="H46" s="43"/>
      <c r="I46" s="43"/>
      <c r="J46" s="43"/>
      <c r="K46" s="43"/>
    </row>
    <row r="47" spans="1:11" x14ac:dyDescent="0.25">
      <c r="A47" s="43">
        <f>'2025'!A50</f>
        <v>47</v>
      </c>
      <c r="B47" s="43">
        <f>'2025'!E49</f>
        <v>0</v>
      </c>
      <c r="C47" s="43">
        <f>'2025'!F49</f>
        <v>0</v>
      </c>
      <c r="D47" s="43"/>
      <c r="E47" s="43" t="str">
        <f>'2025'!G49</f>
        <v>YUNGAY</v>
      </c>
      <c r="F47" s="75">
        <f>'2025'!I49</f>
        <v>0</v>
      </c>
      <c r="G47" s="75">
        <f>'2025'!B49</f>
        <v>45910</v>
      </c>
      <c r="H47" s="43" t="str">
        <f>'2025'!M49</f>
        <v>FEMENINO</v>
      </c>
      <c r="I47" s="43">
        <f>'2025'!N49</f>
        <v>4070</v>
      </c>
      <c r="J47" s="43"/>
      <c r="K47" s="43" t="str">
        <f>'2025'!AR49</f>
        <v>RECUPERACION</v>
      </c>
    </row>
    <row r="48" spans="1:11" x14ac:dyDescent="0.25">
      <c r="A48" s="43">
        <f>'2025'!A51</f>
        <v>48</v>
      </c>
      <c r="B48" s="43">
        <f>'2025'!E50</f>
        <v>0</v>
      </c>
      <c r="C48" s="43">
        <f>'2025'!F50</f>
        <v>0</v>
      </c>
      <c r="D48" s="43"/>
      <c r="E48" s="43" t="str">
        <f>'2025'!G50</f>
        <v>CHILLAN</v>
      </c>
      <c r="F48" s="75">
        <f>'2025'!I50</f>
        <v>0</v>
      </c>
      <c r="G48" s="75">
        <f>'2025'!C53</f>
        <v>0.42152777777777778</v>
      </c>
      <c r="H48" s="43" t="str">
        <f>'2025'!M50</f>
        <v>MASCULINO</v>
      </c>
      <c r="I48" s="43">
        <f>'2025'!N50</f>
        <v>2940</v>
      </c>
      <c r="J48" s="43"/>
      <c r="K48" s="43" t="str">
        <f>'2025'!AR50</f>
        <v>RECUPERACION</v>
      </c>
    </row>
    <row r="49" spans="1:11" x14ac:dyDescent="0.25">
      <c r="A49" s="43">
        <f>'2025'!A52</f>
        <v>49</v>
      </c>
      <c r="B49" s="43">
        <f>'2025'!E51</f>
        <v>0</v>
      </c>
      <c r="C49" s="43">
        <f>'2025'!F51</f>
        <v>0</v>
      </c>
      <c r="D49" s="43"/>
      <c r="E49" s="43" t="str">
        <f>'2025'!G51</f>
        <v>CHILLAN</v>
      </c>
      <c r="F49" s="75">
        <f>'2025'!I51</f>
        <v>0</v>
      </c>
      <c r="G49" s="75">
        <f>'2025'!B51</f>
        <v>45910</v>
      </c>
      <c r="H49" s="43" t="str">
        <f>'2025'!M51</f>
        <v>FEMENINO</v>
      </c>
      <c r="I49" s="43">
        <f>'2025'!N51</f>
        <v>2180</v>
      </c>
      <c r="J49" s="43"/>
      <c r="K49" s="43" t="str">
        <f>'2025'!AR51</f>
        <v>RECUPERACION</v>
      </c>
    </row>
    <row r="50" spans="1:11" x14ac:dyDescent="0.25">
      <c r="A50" s="43">
        <f>'2025'!A53</f>
        <v>50</v>
      </c>
      <c r="B50" s="43">
        <f>'2025'!E53</f>
        <v>0</v>
      </c>
      <c r="C50" s="43">
        <f>'2025'!F53</f>
        <v>0</v>
      </c>
      <c r="D50" s="43"/>
      <c r="E50" s="43" t="e">
        <f>'2025'!#REF!</f>
        <v>#REF!</v>
      </c>
      <c r="F50" s="75">
        <f>'2025'!I53</f>
        <v>0</v>
      </c>
      <c r="G50" s="75">
        <f>'2025'!B53</f>
        <v>45911</v>
      </c>
      <c r="H50" s="43" t="str">
        <f>'2025'!M53</f>
        <v>MASCULINO</v>
      </c>
      <c r="I50" s="43">
        <f>'2025'!N53</f>
        <v>3567</v>
      </c>
      <c r="J50" s="43"/>
      <c r="K50" s="43" t="str">
        <f>'2025'!AR53</f>
        <v>RECUPERACION</v>
      </c>
    </row>
    <row r="51" spans="1:11" x14ac:dyDescent="0.25">
      <c r="A51" s="43">
        <f>'2025'!A54</f>
        <v>51</v>
      </c>
      <c r="B51" s="43"/>
      <c r="C51" s="43"/>
      <c r="D51" s="43"/>
      <c r="E51" s="43"/>
      <c r="F51" s="75"/>
      <c r="G51" s="75"/>
      <c r="H51" s="43"/>
      <c r="I51" s="43"/>
      <c r="J51" s="43"/>
      <c r="K51" s="43"/>
    </row>
    <row r="52" spans="1:11" x14ac:dyDescent="0.25">
      <c r="A52" s="43">
        <f>'2025'!A55</f>
        <v>52</v>
      </c>
      <c r="B52" s="43"/>
      <c r="C52" s="43">
        <f>'2025'!F54</f>
        <v>0</v>
      </c>
      <c r="D52" s="43"/>
      <c r="E52" s="43" t="str">
        <f>'2025'!G54</f>
        <v>EL CARMEN</v>
      </c>
      <c r="F52" s="75">
        <f>'2025'!I54</f>
        <v>0</v>
      </c>
      <c r="G52" s="75">
        <f>'2025'!B54</f>
        <v>45911</v>
      </c>
      <c r="H52" s="43" t="str">
        <f>'2025'!M54</f>
        <v>FEMENINO</v>
      </c>
      <c r="I52" s="43">
        <f>'2025'!N54</f>
        <v>3880</v>
      </c>
      <c r="J52" s="43"/>
      <c r="K52" s="43" t="str">
        <f>'2025'!AR54</f>
        <v>RECUPERACION</v>
      </c>
    </row>
    <row r="53" spans="1:11" x14ac:dyDescent="0.25">
      <c r="A53" s="43" t="e">
        <f>'2025'!#REF!</f>
        <v>#REF!</v>
      </c>
      <c r="B53" s="43">
        <f>'2025'!E55</f>
        <v>0</v>
      </c>
      <c r="C53" s="43">
        <f>'2025'!F55</f>
        <v>0</v>
      </c>
      <c r="D53" s="43"/>
      <c r="E53" s="43" t="str">
        <f>'2025'!G55</f>
        <v>CHILLAN</v>
      </c>
      <c r="F53" s="75">
        <f>'2025'!I55</f>
        <v>0</v>
      </c>
      <c r="G53" s="75">
        <f>'2025'!B55</f>
        <v>45911</v>
      </c>
      <c r="H53" s="43" t="str">
        <f>'2025'!M55</f>
        <v>FEMENINO</v>
      </c>
      <c r="I53" s="43">
        <f>'2025'!N55</f>
        <v>2900</v>
      </c>
      <c r="J53" s="43"/>
      <c r="K53" s="43" t="str">
        <f>'2025'!AR55</f>
        <v>SALA</v>
      </c>
    </row>
    <row r="54" spans="1:11" x14ac:dyDescent="0.25">
      <c r="A54" s="43">
        <f>'2025'!A56</f>
        <v>53</v>
      </c>
      <c r="B54" s="43" t="e">
        <f>'2025'!#REF!</f>
        <v>#REF!</v>
      </c>
      <c r="C54" s="43" t="e">
        <f>'2025'!#REF!</f>
        <v>#REF!</v>
      </c>
      <c r="D54" s="43"/>
      <c r="E54" s="43" t="e">
        <f>'2025'!#REF!</f>
        <v>#REF!</v>
      </c>
      <c r="F54" s="75" t="e">
        <f>'2025'!#REF!</f>
        <v>#REF!</v>
      </c>
      <c r="G54" s="75" t="e">
        <f>'2025'!#REF!</f>
        <v>#REF!</v>
      </c>
      <c r="H54" s="43" t="e">
        <f>'2025'!#REF!</f>
        <v>#REF!</v>
      </c>
      <c r="I54" s="43" t="e">
        <f>'2025'!#REF!</f>
        <v>#REF!</v>
      </c>
      <c r="J54" s="43"/>
      <c r="K54" s="43" t="e">
        <f>'2025'!#REF!</f>
        <v>#REF!</v>
      </c>
    </row>
    <row r="55" spans="1:11" x14ac:dyDescent="0.25">
      <c r="A55" s="43">
        <f>'2025'!A57</f>
        <v>54</v>
      </c>
      <c r="B55" s="43">
        <f>'2025'!E56</f>
        <v>0</v>
      </c>
      <c r="C55" s="43">
        <f>'2025'!F56</f>
        <v>0</v>
      </c>
      <c r="D55" s="43"/>
      <c r="E55" s="43" t="str">
        <f>'2025'!G56</f>
        <v>CHILLAN</v>
      </c>
      <c r="F55" s="75">
        <f>'2025'!I56</f>
        <v>0</v>
      </c>
      <c r="G55" s="75">
        <f>'2025'!B56</f>
        <v>45911</v>
      </c>
      <c r="H55" s="43" t="str">
        <f>'2025'!M56</f>
        <v>MASCULINO</v>
      </c>
      <c r="I55" s="43">
        <f>'2025'!N56</f>
        <v>3890</v>
      </c>
      <c r="J55" s="43"/>
      <c r="K55" s="43" t="str">
        <f>'2025'!AR56</f>
        <v>SALA</v>
      </c>
    </row>
    <row r="56" spans="1:11" x14ac:dyDescent="0.25">
      <c r="A56" s="43">
        <f>'2025'!A58</f>
        <v>55</v>
      </c>
      <c r="B56" s="43">
        <f>'2025'!E57</f>
        <v>0</v>
      </c>
      <c r="C56" s="43">
        <f>'2025'!F57</f>
        <v>0</v>
      </c>
      <c r="D56" s="43"/>
      <c r="E56" s="43" t="str">
        <f>'2025'!G57</f>
        <v>SAN IGNACIO</v>
      </c>
      <c r="F56" s="75">
        <f>'2025'!I57</f>
        <v>0</v>
      </c>
      <c r="G56" s="75">
        <f>'2025'!B57</f>
        <v>45911</v>
      </c>
      <c r="H56" s="43" t="str">
        <f>'2025'!M57</f>
        <v>MASCULINO</v>
      </c>
      <c r="I56" s="43">
        <f>'2025'!N57</f>
        <v>3030</v>
      </c>
      <c r="J56" s="43"/>
      <c r="K56" s="43" t="str">
        <f>'2025'!AR57</f>
        <v>RECUPERACION</v>
      </c>
    </row>
    <row r="57" spans="1:11" x14ac:dyDescent="0.25">
      <c r="A57" s="43">
        <f>'2025'!A59</f>
        <v>56</v>
      </c>
      <c r="B57" s="43">
        <f>'2025'!E58</f>
        <v>0</v>
      </c>
      <c r="C57" s="43">
        <f>'2025'!F58</f>
        <v>0</v>
      </c>
      <c r="D57" s="43"/>
      <c r="E57" s="43" t="str">
        <f>'2025'!G58</f>
        <v>YUNGAY</v>
      </c>
      <c r="F57" s="75">
        <f>'2025'!I58</f>
        <v>0</v>
      </c>
      <c r="G57" s="75">
        <f>'2025'!B58</f>
        <v>45911</v>
      </c>
      <c r="H57" s="43" t="str">
        <f>'2025'!M58</f>
        <v>FEMENINO</v>
      </c>
      <c r="I57" s="43">
        <f>'2025'!N58</f>
        <v>2810</v>
      </c>
      <c r="J57" s="43"/>
      <c r="K57" s="43" t="str">
        <f>'2025'!AR58</f>
        <v>SALA</v>
      </c>
    </row>
    <row r="58" spans="1:11" x14ac:dyDescent="0.25">
      <c r="A58" s="43">
        <f>'2025'!A60</f>
        <v>57</v>
      </c>
      <c r="B58" s="43">
        <f>'2025'!E59</f>
        <v>0</v>
      </c>
      <c r="C58" s="43">
        <f>'2025'!F59</f>
        <v>0</v>
      </c>
      <c r="D58" s="43"/>
      <c r="E58" s="43" t="str">
        <f>'2025'!G59</f>
        <v>CHILLAN VIEJO</v>
      </c>
      <c r="F58" s="75">
        <f>'2025'!I59</f>
        <v>0</v>
      </c>
      <c r="G58" s="75">
        <f>'2025'!B59</f>
        <v>45912</v>
      </c>
      <c r="H58" s="43" t="str">
        <f>'2025'!M59</f>
        <v>FEMENINO</v>
      </c>
      <c r="I58" s="43">
        <f>'2025'!N59</f>
        <v>3910</v>
      </c>
      <c r="J58" s="43"/>
      <c r="K58" s="43" t="str">
        <f>'2025'!AR59</f>
        <v>RECUPERACION</v>
      </c>
    </row>
    <row r="59" spans="1:11" x14ac:dyDescent="0.25">
      <c r="A59" s="43">
        <f>'2025'!A61</f>
        <v>58</v>
      </c>
      <c r="B59" s="43">
        <f>'2025'!E60</f>
        <v>0</v>
      </c>
      <c r="C59" s="43">
        <f>'2025'!F60</f>
        <v>0</v>
      </c>
      <c r="D59" s="43"/>
      <c r="E59" s="43" t="str">
        <f>'2025'!G60</f>
        <v>CHILLAN</v>
      </c>
      <c r="F59" s="75">
        <f>'2025'!I60</f>
        <v>0</v>
      </c>
      <c r="G59" s="75">
        <f>'2025'!B60</f>
        <v>45912</v>
      </c>
      <c r="H59" s="43" t="str">
        <f>'2025'!M60</f>
        <v>FEMENINO</v>
      </c>
      <c r="I59" s="43">
        <f>'2025'!N60</f>
        <v>3030</v>
      </c>
      <c r="J59" s="43"/>
      <c r="K59" s="43" t="str">
        <f>'2025'!AR60</f>
        <v>SALA</v>
      </c>
    </row>
    <row r="60" spans="1:11" x14ac:dyDescent="0.25">
      <c r="A60" s="43">
        <f>'2025'!A62</f>
        <v>59</v>
      </c>
      <c r="B60" s="43">
        <f>'2025'!E61</f>
        <v>0</v>
      </c>
      <c r="C60" s="43">
        <f>'2025'!F61</f>
        <v>0</v>
      </c>
      <c r="D60" s="43"/>
      <c r="E60" s="43" t="str">
        <f>'2025'!G61</f>
        <v>CHILLAN</v>
      </c>
      <c r="F60" s="75">
        <f>'2025'!I61</f>
        <v>0</v>
      </c>
      <c r="G60" s="75">
        <f>'2025'!B61</f>
        <v>45912</v>
      </c>
      <c r="H60" s="43" t="str">
        <f>'2025'!M61</f>
        <v>FEMENINO</v>
      </c>
      <c r="I60" s="43">
        <f>'2025'!N61</f>
        <v>3560</v>
      </c>
      <c r="J60" s="43"/>
      <c r="K60" s="43" t="str">
        <f>'2025'!AR61</f>
        <v>RECUPERACION</v>
      </c>
    </row>
    <row r="61" spans="1:11" x14ac:dyDescent="0.25">
      <c r="A61" s="43">
        <f>'2025'!A63</f>
        <v>60</v>
      </c>
      <c r="B61" s="43">
        <f>'2025'!E62</f>
        <v>0</v>
      </c>
      <c r="C61" s="43">
        <f>'2025'!F62</f>
        <v>0</v>
      </c>
      <c r="D61" s="43"/>
      <c r="E61" s="43" t="str">
        <f>'2025'!G62</f>
        <v>CHILLAN</v>
      </c>
      <c r="F61" s="75">
        <f>'2025'!I62</f>
        <v>0</v>
      </c>
      <c r="G61" s="75">
        <f>'2025'!B62</f>
        <v>45912</v>
      </c>
      <c r="H61" s="43" t="str">
        <f>'2025'!M62</f>
        <v>MASCULINO</v>
      </c>
      <c r="I61" s="43">
        <f>'2025'!N62</f>
        <v>2960</v>
      </c>
      <c r="J61" s="43"/>
      <c r="K61" s="43" t="str">
        <f>'2025'!AR62</f>
        <v>SALA</v>
      </c>
    </row>
    <row r="62" spans="1:11" x14ac:dyDescent="0.25">
      <c r="A62" s="43">
        <f>'2025'!A64</f>
        <v>61</v>
      </c>
      <c r="B62" s="43">
        <f>'2025'!E63</f>
        <v>0</v>
      </c>
      <c r="C62" s="43">
        <f>'2025'!F63</f>
        <v>0</v>
      </c>
      <c r="D62" s="43"/>
      <c r="E62" s="43" t="str">
        <f>'2025'!G63</f>
        <v>CHILLAN</v>
      </c>
      <c r="F62" s="75">
        <f>'2025'!I63</f>
        <v>0</v>
      </c>
      <c r="G62" s="75">
        <f>'2025'!B63</f>
        <v>45912</v>
      </c>
      <c r="H62" s="43" t="str">
        <f>'2025'!M63</f>
        <v>MASCULINO</v>
      </c>
      <c r="I62" s="43">
        <f>'2025'!N63</f>
        <v>3270</v>
      </c>
      <c r="J62" s="43"/>
      <c r="K62" s="43" t="str">
        <f>'2025'!AR63</f>
        <v>SALA</v>
      </c>
    </row>
    <row r="63" spans="1:11" x14ac:dyDescent="0.25">
      <c r="A63" s="43">
        <f>'2025'!A65</f>
        <v>62</v>
      </c>
      <c r="B63" s="43">
        <f>'2025'!E64</f>
        <v>0</v>
      </c>
      <c r="C63" s="43">
        <f>'2025'!F64</f>
        <v>0</v>
      </c>
      <c r="D63" s="43"/>
      <c r="E63" s="43" t="str">
        <f>'2025'!G64</f>
        <v>QUILLON</v>
      </c>
      <c r="F63" s="75">
        <f>'2025'!I64</f>
        <v>0</v>
      </c>
      <c r="G63" s="75">
        <f>'2025'!B64</f>
        <v>45912</v>
      </c>
      <c r="H63" s="43" t="str">
        <f>'2025'!M64</f>
        <v>FEMENINO</v>
      </c>
      <c r="I63" s="43">
        <f>'2025'!N64</f>
        <v>3660</v>
      </c>
      <c r="J63" s="43"/>
      <c r="K63" s="43" t="str">
        <f>'2025'!AR64</f>
        <v>SALA</v>
      </c>
    </row>
    <row r="64" spans="1:11" x14ac:dyDescent="0.25">
      <c r="A64" s="43">
        <f>'2025'!A66</f>
        <v>63</v>
      </c>
      <c r="B64" s="43">
        <f>'2025'!E65</f>
        <v>0</v>
      </c>
      <c r="C64" s="43">
        <f>'2025'!F65</f>
        <v>0</v>
      </c>
      <c r="D64" s="43"/>
      <c r="E64" s="43" t="str">
        <f>'2025'!G65</f>
        <v>COELEMU</v>
      </c>
      <c r="F64" s="75">
        <f>'2025'!I65</f>
        <v>0</v>
      </c>
      <c r="G64" s="75">
        <f>'2025'!B65</f>
        <v>45913</v>
      </c>
      <c r="H64" s="43" t="str">
        <f>'2025'!M65</f>
        <v>MASCULINO</v>
      </c>
      <c r="I64" s="43">
        <f>'2025'!N66</f>
        <v>2385</v>
      </c>
      <c r="J64" s="43"/>
      <c r="K64" s="43" t="str">
        <f>'2025'!AR65</f>
        <v>RECUPERACION</v>
      </c>
    </row>
    <row r="65" spans="1:11" x14ac:dyDescent="0.25">
      <c r="A65" s="43">
        <f>'2025'!A67</f>
        <v>64</v>
      </c>
      <c r="B65" s="43">
        <f>'2025'!E66</f>
        <v>0</v>
      </c>
      <c r="C65" s="43">
        <f>'2025'!F66</f>
        <v>0</v>
      </c>
      <c r="D65" s="43"/>
      <c r="E65" s="43" t="str">
        <f>'2025'!G66</f>
        <v>PORTEZUELO</v>
      </c>
      <c r="F65" s="75">
        <f>'2025'!I66</f>
        <v>0</v>
      </c>
      <c r="G65" s="75">
        <f>'2025'!B66</f>
        <v>45913</v>
      </c>
      <c r="H65" s="43" t="str">
        <f>'2025'!M66</f>
        <v>MASCULINO</v>
      </c>
      <c r="I65" s="43" t="e">
        <f>'2025'!#REF!</f>
        <v>#REF!</v>
      </c>
      <c r="J65" s="43"/>
      <c r="K65" s="43" t="str">
        <f>'2025'!AR66</f>
        <v>SALA</v>
      </c>
    </row>
    <row r="66" spans="1:11" x14ac:dyDescent="0.25">
      <c r="A66" s="43">
        <f>'2025'!A68</f>
        <v>65</v>
      </c>
      <c r="B66" s="43">
        <f>'2025'!E67</f>
        <v>0</v>
      </c>
      <c r="C66" s="43">
        <f>'2025'!F67</f>
        <v>0</v>
      </c>
      <c r="D66" s="43"/>
      <c r="E66" s="43" t="str">
        <f>'2025'!G67</f>
        <v>CHILLAN</v>
      </c>
      <c r="F66" s="75">
        <f>'2025'!I67</f>
        <v>0</v>
      </c>
      <c r="G66" s="75">
        <f>'2025'!B67</f>
        <v>45913</v>
      </c>
      <c r="H66" s="43" t="str">
        <f>'2025'!M67</f>
        <v>MASCULINO</v>
      </c>
      <c r="I66" s="43">
        <f>'2025'!N67</f>
        <v>3710</v>
      </c>
      <c r="J66" s="43"/>
      <c r="K66" s="43" t="str">
        <f>'2025'!AR67</f>
        <v>SALA</v>
      </c>
    </row>
    <row r="67" spans="1:11" x14ac:dyDescent="0.25">
      <c r="A67" s="43">
        <f>'2025'!A69</f>
        <v>66</v>
      </c>
      <c r="B67" s="43">
        <f>'2025'!E68</f>
        <v>0</v>
      </c>
      <c r="C67" s="43">
        <f>'2025'!F68</f>
        <v>0</v>
      </c>
      <c r="D67" s="43"/>
      <c r="E67" s="43" t="str">
        <f>'2025'!G68</f>
        <v>EL CARMEN</v>
      </c>
      <c r="F67" s="75">
        <f>'2025'!I68</f>
        <v>0</v>
      </c>
      <c r="G67" s="75">
        <f>'2025'!B68</f>
        <v>45913</v>
      </c>
      <c r="H67" s="43" t="str">
        <f>'2025'!M68</f>
        <v>FEMENINO</v>
      </c>
      <c r="I67" s="43">
        <f>'2025'!N68</f>
        <v>2370</v>
      </c>
      <c r="J67" s="43"/>
      <c r="K67" s="43" t="str">
        <f>'2025'!AR68</f>
        <v>UCI</v>
      </c>
    </row>
    <row r="68" spans="1:11" x14ac:dyDescent="0.25">
      <c r="A68" s="43">
        <f>'2025'!A70</f>
        <v>67</v>
      </c>
      <c r="B68" s="43">
        <f>'2025'!E69</f>
        <v>0</v>
      </c>
      <c r="C68" s="43">
        <f>'2025'!F69</f>
        <v>0</v>
      </c>
      <c r="D68" s="43"/>
      <c r="E68" s="43" t="str">
        <f>'2025'!G69</f>
        <v>CHILLAN</v>
      </c>
      <c r="F68" s="75">
        <f>'2025'!I69</f>
        <v>0</v>
      </c>
      <c r="G68" s="75">
        <f>'2025'!B69</f>
        <v>45913</v>
      </c>
      <c r="H68" s="43" t="str">
        <f>'2025'!M69</f>
        <v>FEMENINO</v>
      </c>
      <c r="I68" s="43">
        <f>'2025'!N69</f>
        <v>2860</v>
      </c>
      <c r="J68" s="43"/>
      <c r="K68" s="43" t="str">
        <f>'2025'!AR69</f>
        <v>SALA</v>
      </c>
    </row>
    <row r="69" spans="1:11" x14ac:dyDescent="0.25">
      <c r="A69" s="43">
        <f>'2025'!A71</f>
        <v>68</v>
      </c>
      <c r="B69" s="43">
        <f>'2025'!E70</f>
        <v>0</v>
      </c>
      <c r="C69" s="43">
        <f>'2025'!F70</f>
        <v>0</v>
      </c>
      <c r="D69" s="43"/>
      <c r="E69" s="43" t="str">
        <f>'2025'!G70</f>
        <v>EL CARMEN</v>
      </c>
      <c r="F69" s="75">
        <f>'2025'!I70</f>
        <v>0</v>
      </c>
      <c r="G69" s="75">
        <f>'2025'!B70</f>
        <v>45914</v>
      </c>
      <c r="H69" s="43" t="str">
        <f>'2025'!M70</f>
        <v>FEMENINO</v>
      </c>
      <c r="I69" s="43">
        <f>'2025'!N70</f>
        <v>2560</v>
      </c>
      <c r="J69" s="43"/>
      <c r="K69" s="43" t="str">
        <f>'2025'!AR70</f>
        <v>RECUPERACION</v>
      </c>
    </row>
    <row r="70" spans="1:11" x14ac:dyDescent="0.25">
      <c r="A70" s="43">
        <f>'2025'!A72</f>
        <v>69</v>
      </c>
      <c r="B70" s="43">
        <f>'2025'!E71</f>
        <v>0</v>
      </c>
      <c r="C70" s="43">
        <f>'2025'!F71</f>
        <v>0</v>
      </c>
      <c r="D70" s="43"/>
      <c r="E70" s="43" t="str">
        <f>'2025'!G71</f>
        <v>CHILLAN</v>
      </c>
      <c r="F70" s="75">
        <f>'2025'!I71</f>
        <v>0</v>
      </c>
      <c r="G70" s="75">
        <f>'2025'!B71</f>
        <v>45914</v>
      </c>
      <c r="H70" s="43" t="str">
        <f>'2025'!M71</f>
        <v>FEMENINO</v>
      </c>
      <c r="I70" s="43">
        <f>'2025'!N71</f>
        <v>3990</v>
      </c>
      <c r="J70" s="43"/>
      <c r="K70" s="43" t="str">
        <f>'2025'!AR71</f>
        <v>SALA</v>
      </c>
    </row>
    <row r="71" spans="1:11" x14ac:dyDescent="0.25">
      <c r="A71" s="43">
        <f>'2025'!A73</f>
        <v>70</v>
      </c>
      <c r="B71" s="43">
        <f>'2025'!E72</f>
        <v>0</v>
      </c>
      <c r="C71" s="43">
        <f>'2025'!F72</f>
        <v>0</v>
      </c>
      <c r="D71" s="43"/>
      <c r="E71" s="43" t="str">
        <f>'2025'!G72</f>
        <v>CHILLAN</v>
      </c>
      <c r="F71" s="75">
        <f>'2025'!I72</f>
        <v>0</v>
      </c>
      <c r="G71" s="75">
        <f>'2025'!B72</f>
        <v>45914</v>
      </c>
      <c r="H71" s="43" t="str">
        <f>'2025'!M72</f>
        <v>MASCULINO</v>
      </c>
      <c r="I71" s="43">
        <f>'2025'!N72</f>
        <v>4080</v>
      </c>
      <c r="J71" s="43"/>
      <c r="K71" s="43" t="str">
        <f>'2025'!AR72</f>
        <v>SALA</v>
      </c>
    </row>
    <row r="72" spans="1:11" x14ac:dyDescent="0.25">
      <c r="A72" s="43">
        <f>'2025'!A74</f>
        <v>71</v>
      </c>
      <c r="B72" s="43">
        <f>'2025'!E73</f>
        <v>0</v>
      </c>
      <c r="C72" s="43">
        <f>'2025'!F73</f>
        <v>0</v>
      </c>
      <c r="D72" s="43"/>
      <c r="E72" s="43" t="str">
        <f>'2025'!G73</f>
        <v>CHILLAN</v>
      </c>
      <c r="F72" s="75">
        <f>'2025'!I73</f>
        <v>0</v>
      </c>
      <c r="G72" s="75" t="e">
        <f>'2025'!#REF!</f>
        <v>#REF!</v>
      </c>
      <c r="H72" s="43" t="str">
        <f>'2025'!M73</f>
        <v>FEMENINO</v>
      </c>
      <c r="I72" s="43">
        <f>'2025'!N73</f>
        <v>3750</v>
      </c>
      <c r="J72" s="43"/>
      <c r="K72" s="43" t="str">
        <f>'2025'!AR73</f>
        <v>SALA</v>
      </c>
    </row>
    <row r="73" spans="1:11" x14ac:dyDescent="0.25">
      <c r="A73" s="43">
        <f>'2025'!A75</f>
        <v>72</v>
      </c>
      <c r="B73" s="43">
        <f>'2025'!E74</f>
        <v>0</v>
      </c>
      <c r="C73" s="43">
        <f>'2025'!F74</f>
        <v>0</v>
      </c>
      <c r="D73" s="43"/>
      <c r="E73" s="43" t="str">
        <f>'2025'!G74</f>
        <v>PORTEZUELO</v>
      </c>
      <c r="F73" s="75">
        <f>'2025'!I74</f>
        <v>0</v>
      </c>
      <c r="G73" s="75">
        <f ca="1">'2025'!B74</f>
        <v>45902</v>
      </c>
      <c r="H73" s="43" t="str">
        <f>'2025'!M74</f>
        <v>FEMENINO</v>
      </c>
      <c r="I73" s="43">
        <f>'2025'!N74</f>
        <v>3590</v>
      </c>
      <c r="J73" s="43"/>
      <c r="K73" s="43" t="str">
        <f>'2025'!AR74</f>
        <v>RECUPERACION</v>
      </c>
    </row>
    <row r="74" spans="1:11" x14ac:dyDescent="0.25">
      <c r="A74" s="43">
        <f>'2025'!A76</f>
        <v>73</v>
      </c>
      <c r="B74" s="43">
        <f>'2025'!E75</f>
        <v>0</v>
      </c>
      <c r="C74" s="43">
        <f>'2025'!F75</f>
        <v>0</v>
      </c>
      <c r="D74" s="43"/>
      <c r="E74" s="43" t="str">
        <f>'2025'!G75</f>
        <v>CHILLAN VIEJO</v>
      </c>
      <c r="F74" s="75">
        <f>'2025'!I75</f>
        <v>0</v>
      </c>
      <c r="G74" s="75">
        <f>'2025'!B75</f>
        <v>45915</v>
      </c>
      <c r="H74" s="43" t="str">
        <f>'2025'!M75</f>
        <v>MASCULINO</v>
      </c>
      <c r="I74" s="43">
        <f>'2025'!N75</f>
        <v>3220</v>
      </c>
      <c r="J74" s="43"/>
      <c r="K74" s="43" t="str">
        <f>'2025'!AR75</f>
        <v>RECUPERACION</v>
      </c>
    </row>
    <row r="75" spans="1:11" x14ac:dyDescent="0.25">
      <c r="A75" s="43">
        <f>'2025'!A77</f>
        <v>74</v>
      </c>
      <c r="B75" s="43">
        <f>'2025'!E76</f>
        <v>0</v>
      </c>
      <c r="C75" s="43">
        <f>'2025'!F76</f>
        <v>0</v>
      </c>
      <c r="D75" s="43"/>
      <c r="E75" s="43" t="str">
        <f>'2025'!G76</f>
        <v>ÑIPAS</v>
      </c>
      <c r="F75" s="75">
        <f>'2025'!I76</f>
        <v>0</v>
      </c>
      <c r="G75" s="75">
        <f>'2025'!B76</f>
        <v>45915</v>
      </c>
      <c r="H75" s="43" t="str">
        <f>'2025'!M76</f>
        <v>FEMENINO</v>
      </c>
      <c r="I75" s="43">
        <f>'2025'!N76</f>
        <v>2360</v>
      </c>
      <c r="J75" s="43"/>
      <c r="K75" s="43" t="str">
        <f>'2025'!AR76</f>
        <v>RECUPERACION</v>
      </c>
    </row>
    <row r="76" spans="1:11" x14ac:dyDescent="0.25">
      <c r="A76" s="43">
        <f>'2025'!A78</f>
        <v>75</v>
      </c>
      <c r="B76" s="43">
        <f>'2025'!E77</f>
        <v>0</v>
      </c>
      <c r="C76" s="43">
        <f>'2025'!F77</f>
        <v>0</v>
      </c>
      <c r="D76" s="43" t="s">
        <v>110</v>
      </c>
      <c r="E76" s="43" t="str">
        <f>'2025'!G77</f>
        <v>SAN IGNACIO</v>
      </c>
      <c r="F76" s="75">
        <f>'2025'!I77</f>
        <v>0</v>
      </c>
      <c r="G76" s="75">
        <f>'2025'!B77</f>
        <v>45916</v>
      </c>
      <c r="H76" s="43" t="str">
        <f>'2025'!M77</f>
        <v>FEMENINO</v>
      </c>
      <c r="I76" s="43">
        <f>'2025'!N77</f>
        <v>2830</v>
      </c>
      <c r="J76" s="43"/>
      <c r="K76" s="43" t="str">
        <f>'2025'!AR77</f>
        <v>SALA</v>
      </c>
    </row>
    <row r="77" spans="1:11" x14ac:dyDescent="0.25">
      <c r="A77" s="43">
        <f>'2025'!A79</f>
        <v>76</v>
      </c>
      <c r="B77" s="43">
        <f>'2025'!E78</f>
        <v>0</v>
      </c>
      <c r="C77" s="43">
        <f>'2025'!F78</f>
        <v>0</v>
      </c>
      <c r="D77" s="43" t="s">
        <v>110</v>
      </c>
      <c r="E77" s="43" t="str">
        <f>'2025'!G78</f>
        <v>QUIRIHUE</v>
      </c>
      <c r="F77" s="75">
        <f>'2025'!I78</f>
        <v>0</v>
      </c>
      <c r="G77" s="75">
        <f>'2025'!B78</f>
        <v>45916</v>
      </c>
      <c r="H77" s="43" t="str">
        <f>'2025'!M78</f>
        <v>FEMENINO</v>
      </c>
      <c r="I77" s="43">
        <f>'2025'!N78</f>
        <v>3110</v>
      </c>
      <c r="J77" s="43"/>
      <c r="K77" s="43" t="str">
        <f>'2025'!AR78</f>
        <v>RECUPERACION</v>
      </c>
    </row>
    <row r="78" spans="1:11" s="78" customFormat="1" x14ac:dyDescent="0.25">
      <c r="A78" s="98">
        <f>'2025'!A80</f>
        <v>77</v>
      </c>
      <c r="B78" s="98">
        <f>'2025'!E79</f>
        <v>0</v>
      </c>
      <c r="C78" s="98">
        <f>'2025'!F79</f>
        <v>0</v>
      </c>
      <c r="D78" s="98" t="s">
        <v>110</v>
      </c>
      <c r="E78" s="98" t="str">
        <f>'2025'!G79</f>
        <v>COIHUECO</v>
      </c>
      <c r="F78" s="99">
        <f>'2025'!I79</f>
        <v>0</v>
      </c>
      <c r="G78" s="99">
        <f>'2025'!B79</f>
        <v>45916</v>
      </c>
      <c r="H78" s="98" t="str">
        <f>'2025'!M79</f>
        <v>MASCULINO</v>
      </c>
      <c r="I78" s="98">
        <f>'2025'!N79</f>
        <v>3220</v>
      </c>
      <c r="J78" s="98"/>
      <c r="K78" s="98" t="str">
        <f>'2025'!AR79</f>
        <v>RECUPERACION</v>
      </c>
    </row>
    <row r="79" spans="1:11" x14ac:dyDescent="0.25">
      <c r="A79" s="43">
        <f>'2025'!A81</f>
        <v>78</v>
      </c>
      <c r="B79" s="43">
        <f>'2025'!E80</f>
        <v>0</v>
      </c>
      <c r="C79" s="43">
        <f>'2025'!F80</f>
        <v>0</v>
      </c>
      <c r="D79" s="43" t="s">
        <v>110</v>
      </c>
      <c r="E79" s="43" t="str">
        <f>'2025'!G80</f>
        <v>PINTO</v>
      </c>
      <c r="F79" s="75">
        <f>'2025'!I80</f>
        <v>0</v>
      </c>
      <c r="G79" s="75">
        <f>'2025'!B80</f>
        <v>45916</v>
      </c>
      <c r="H79" s="43" t="str">
        <f>'2025'!M80</f>
        <v>MASCULINO</v>
      </c>
      <c r="I79" s="43">
        <f>'2025'!N80</f>
        <v>3370</v>
      </c>
      <c r="J79" s="43"/>
      <c r="K79" s="43" t="str">
        <f>'2025'!AR80</f>
        <v>SALA</v>
      </c>
    </row>
    <row r="80" spans="1:11" x14ac:dyDescent="0.25">
      <c r="A80" s="43">
        <f>'2025'!A82</f>
        <v>79</v>
      </c>
      <c r="B80" s="43">
        <f>'2025'!E82</f>
        <v>0</v>
      </c>
      <c r="C80" s="43">
        <f>'2025'!F82</f>
        <v>0</v>
      </c>
      <c r="D80" s="43" t="s">
        <v>110</v>
      </c>
      <c r="E80" s="43" t="str">
        <f>'2025'!G82</f>
        <v>PINTO</v>
      </c>
      <c r="F80" s="75">
        <f>'2025'!I82</f>
        <v>0</v>
      </c>
      <c r="G80" s="75">
        <f>'2025'!B82</f>
        <v>45916</v>
      </c>
      <c r="H80" s="43" t="str">
        <f>'2025'!M82</f>
        <v>MASCULINO</v>
      </c>
      <c r="I80" s="43">
        <f>'2025'!N82</f>
        <v>3450</v>
      </c>
      <c r="J80" s="43"/>
      <c r="K80" s="43" t="str">
        <f>'2025'!AR82</f>
        <v>SALA</v>
      </c>
    </row>
    <row r="81" spans="1:11" x14ac:dyDescent="0.25">
      <c r="A81" s="43">
        <f>'2025'!A83</f>
        <v>80</v>
      </c>
      <c r="B81" s="43" t="s">
        <v>118</v>
      </c>
      <c r="C81" s="43" t="s">
        <v>117</v>
      </c>
      <c r="D81" s="43" t="s">
        <v>110</v>
      </c>
      <c r="E81" s="43" t="s">
        <v>114</v>
      </c>
      <c r="F81" s="75">
        <v>33510</v>
      </c>
      <c r="G81" s="75">
        <v>45761</v>
      </c>
      <c r="H81" s="43" t="s">
        <v>113</v>
      </c>
      <c r="I81" s="43">
        <v>2885</v>
      </c>
      <c r="J81" s="43"/>
      <c r="K81" s="43" t="s">
        <v>112</v>
      </c>
    </row>
    <row r="82" spans="1:11" x14ac:dyDescent="0.25">
      <c r="A82" s="43">
        <f>'2025'!A84</f>
        <v>81</v>
      </c>
      <c r="B82" s="43">
        <f>'2025'!E83</f>
        <v>0</v>
      </c>
      <c r="C82" s="43">
        <f>'2025'!F83</f>
        <v>0</v>
      </c>
      <c r="D82" s="43" t="s">
        <v>110</v>
      </c>
      <c r="E82" s="43" t="str">
        <f>'2025'!G83</f>
        <v>CHILLAN</v>
      </c>
      <c r="F82" s="75">
        <f>'2025'!I83</f>
        <v>0</v>
      </c>
      <c r="G82" s="75">
        <f>'2025'!B83</f>
        <v>45917</v>
      </c>
      <c r="H82" s="43" t="str">
        <f>'2025'!M83</f>
        <v>FEMENINO</v>
      </c>
      <c r="I82" s="43">
        <f>'2025'!N83</f>
        <v>3320</v>
      </c>
      <c r="J82" s="43"/>
      <c r="K82" s="43" t="str">
        <f>'2025'!AR83</f>
        <v>RECUPERACION</v>
      </c>
    </row>
    <row r="83" spans="1:11" x14ac:dyDescent="0.25">
      <c r="A83" s="43">
        <f>'2025'!A85</f>
        <v>82</v>
      </c>
      <c r="B83" s="43">
        <f>'2025'!E84</f>
        <v>0</v>
      </c>
      <c r="C83" s="43">
        <f>'2025'!F84</f>
        <v>0</v>
      </c>
      <c r="D83" s="43" t="s">
        <v>110</v>
      </c>
      <c r="E83" s="43" t="str">
        <f>'2025'!G84</f>
        <v>CHILLAN</v>
      </c>
      <c r="F83" s="75">
        <f>'2025'!I84</f>
        <v>0</v>
      </c>
      <c r="G83" s="75">
        <f>'2025'!B84</f>
        <v>45917</v>
      </c>
      <c r="H83" s="43" t="str">
        <f>'2025'!M84</f>
        <v>MASCULINO</v>
      </c>
      <c r="I83" s="43">
        <f>'2025'!N84</f>
        <v>3410</v>
      </c>
      <c r="J83" s="43" t="s">
        <v>119</v>
      </c>
      <c r="K83" s="43" t="str">
        <f>'2025'!AR84</f>
        <v>SALA</v>
      </c>
    </row>
    <row r="84" spans="1:11" x14ac:dyDescent="0.25">
      <c r="A84" s="43">
        <f>'2025'!A86</f>
        <v>83</v>
      </c>
      <c r="B84" s="43">
        <f>'2025'!E85</f>
        <v>0</v>
      </c>
      <c r="C84" s="43">
        <f>'2025'!F85</f>
        <v>0</v>
      </c>
      <c r="D84" s="43" t="s">
        <v>110</v>
      </c>
      <c r="E84" s="43" t="str">
        <f>'2025'!G85</f>
        <v>CHILLAN</v>
      </c>
      <c r="F84" s="75">
        <f>'2025'!I85</f>
        <v>0</v>
      </c>
      <c r="G84" s="75">
        <f>'2025'!B85</f>
        <v>45918</v>
      </c>
      <c r="H84" s="43" t="str">
        <f>'2025'!M85</f>
        <v>FEMENINO</v>
      </c>
      <c r="I84" s="43">
        <f>'2025'!N85</f>
        <v>3610</v>
      </c>
      <c r="J84" s="43"/>
      <c r="K84" s="43" t="str">
        <f>'2025'!AR85</f>
        <v>RECUPERACION</v>
      </c>
    </row>
    <row r="85" spans="1:11" x14ac:dyDescent="0.25">
      <c r="A85" s="43">
        <f>'2025'!A87</f>
        <v>84</v>
      </c>
      <c r="B85" s="43">
        <f>'2025'!E86</f>
        <v>0</v>
      </c>
      <c r="C85" s="43">
        <f>'2025'!F86</f>
        <v>0</v>
      </c>
      <c r="D85" s="43" t="s">
        <v>110</v>
      </c>
      <c r="E85" s="43" t="str">
        <f>'2025'!G86</f>
        <v>CHILLAN</v>
      </c>
      <c r="F85" s="75">
        <f>'2025'!I86</f>
        <v>0</v>
      </c>
      <c r="G85" s="75">
        <f>'2025'!B86</f>
        <v>45918</v>
      </c>
      <c r="H85" s="43" t="str">
        <f>'2025'!M86</f>
        <v>MASCULINO</v>
      </c>
      <c r="I85" s="43">
        <f>'2025'!N86</f>
        <v>3980</v>
      </c>
      <c r="J85" s="43"/>
      <c r="K85" s="43" t="str">
        <f>'2025'!AR86</f>
        <v>SALA</v>
      </c>
    </row>
    <row r="86" spans="1:11" x14ac:dyDescent="0.25">
      <c r="A86" s="43">
        <f>'2025'!A88</f>
        <v>85</v>
      </c>
      <c r="B86" s="43">
        <f>'2025'!E87</f>
        <v>0</v>
      </c>
      <c r="C86" s="43">
        <f>'2025'!F87</f>
        <v>0</v>
      </c>
      <c r="D86" s="43" t="s">
        <v>110</v>
      </c>
      <c r="E86" s="43" t="str">
        <f>'2025'!G87</f>
        <v>CHILLAN</v>
      </c>
      <c r="F86" s="75">
        <f>'2025'!I87</f>
        <v>0</v>
      </c>
      <c r="G86" s="75">
        <f>'2025'!B87</f>
        <v>45918</v>
      </c>
      <c r="H86" s="43" t="str">
        <f>'2025'!M87</f>
        <v>MASCULINO</v>
      </c>
      <c r="I86" s="43">
        <f>'2025'!N87</f>
        <v>1990</v>
      </c>
      <c r="J86" s="43"/>
      <c r="K86" s="43" t="str">
        <f>'2025'!AR87</f>
        <v>UCI NEO</v>
      </c>
    </row>
    <row r="87" spans="1:11" x14ac:dyDescent="0.25">
      <c r="A87" s="43">
        <f>'2025'!A89</f>
        <v>86</v>
      </c>
      <c r="B87" s="43">
        <f>'2025'!E88</f>
        <v>0</v>
      </c>
      <c r="C87" s="43">
        <f>'2025'!F88</f>
        <v>0</v>
      </c>
      <c r="D87" s="43" t="s">
        <v>110</v>
      </c>
      <c r="E87" s="43" t="str">
        <f>'2025'!G88</f>
        <v>COIHUECO</v>
      </c>
      <c r="F87" s="75">
        <f>'2025'!I88</f>
        <v>0</v>
      </c>
      <c r="G87" s="75">
        <f>'2025'!B88</f>
        <v>45918</v>
      </c>
      <c r="H87" s="43" t="str">
        <f>'2025'!M88</f>
        <v>MASCULINO</v>
      </c>
      <c r="I87" s="43">
        <f>'2025'!N88</f>
        <v>3050</v>
      </c>
      <c r="J87" s="43"/>
      <c r="K87" s="43" t="str">
        <f>'2025'!AR88</f>
        <v>RECUPERACION</v>
      </c>
    </row>
    <row r="88" spans="1:11" x14ac:dyDescent="0.25">
      <c r="A88" s="43">
        <f>'2025'!A90</f>
        <v>87</v>
      </c>
      <c r="B88" s="43">
        <f>'2025'!E89</f>
        <v>0</v>
      </c>
      <c r="C88" s="43">
        <f>'2025'!F89</f>
        <v>0</v>
      </c>
      <c r="D88" s="43" t="s">
        <v>110</v>
      </c>
      <c r="E88" s="43" t="str">
        <f>'2025'!G89</f>
        <v>CHILLAN</v>
      </c>
      <c r="F88" s="75">
        <f>'2025'!I89</f>
        <v>0</v>
      </c>
      <c r="G88" s="75">
        <f>'2025'!B89</f>
        <v>45919</v>
      </c>
      <c r="H88" s="43" t="str">
        <f>'2025'!M89</f>
        <v>MASCULINO</v>
      </c>
      <c r="I88" s="43">
        <f>'2025'!N89</f>
        <v>3660</v>
      </c>
      <c r="J88" s="43"/>
      <c r="K88" s="43" t="str">
        <f>'2025'!AR89</f>
        <v>SALA</v>
      </c>
    </row>
    <row r="89" spans="1:11" x14ac:dyDescent="0.25">
      <c r="A89" s="43">
        <f>'2025'!A91</f>
        <v>88</v>
      </c>
      <c r="B89" s="43">
        <f>'2025'!E90</f>
        <v>0</v>
      </c>
      <c r="C89" s="43">
        <f>'2025'!F90</f>
        <v>0</v>
      </c>
      <c r="D89" s="43" t="s">
        <v>110</v>
      </c>
      <c r="E89" s="43" t="str">
        <f>'2025'!G90</f>
        <v>COIHUECO</v>
      </c>
      <c r="F89" s="75">
        <f>'2025'!I90</f>
        <v>0</v>
      </c>
      <c r="G89" s="75">
        <f>'2025'!B90</f>
        <v>45919</v>
      </c>
      <c r="H89" s="43" t="str">
        <f>'2025'!M90</f>
        <v>FEMENINO</v>
      </c>
      <c r="I89" s="43">
        <f>'2025'!N90</f>
        <v>3970</v>
      </c>
      <c r="J89" s="43"/>
      <c r="K89" s="43" t="str">
        <f>'2025'!AR90</f>
        <v>SALA</v>
      </c>
    </row>
    <row r="90" spans="1:11" x14ac:dyDescent="0.25">
      <c r="A90" s="43">
        <f>'2025'!A92</f>
        <v>89</v>
      </c>
      <c r="B90" s="43">
        <f>'2025'!E91</f>
        <v>0</v>
      </c>
      <c r="C90" s="43">
        <f>'2025'!F91</f>
        <v>0</v>
      </c>
      <c r="D90" s="43" t="s">
        <v>110</v>
      </c>
      <c r="E90" s="43" t="str">
        <f>'2025'!G91</f>
        <v>EL CARMEN</v>
      </c>
      <c r="F90" s="75">
        <f>'2025'!I91</f>
        <v>0</v>
      </c>
      <c r="G90" s="75">
        <f>'2025'!B91</f>
        <v>45920</v>
      </c>
      <c r="H90" s="43" t="str">
        <f>'2025'!M91</f>
        <v>MASCULINO</v>
      </c>
      <c r="I90" s="43">
        <f>'2025'!N91</f>
        <v>3300</v>
      </c>
      <c r="J90" s="43"/>
      <c r="K90" s="43" t="str">
        <f>'2025'!AR91</f>
        <v>SALA</v>
      </c>
    </row>
    <row r="91" spans="1:11" x14ac:dyDescent="0.25">
      <c r="A91" s="43">
        <f>'2025'!A93</f>
        <v>90</v>
      </c>
      <c r="B91" s="43">
        <f>'2025'!E92</f>
        <v>0</v>
      </c>
      <c r="C91" s="43">
        <f>'2025'!F92</f>
        <v>0</v>
      </c>
      <c r="D91" s="43" t="s">
        <v>110</v>
      </c>
      <c r="E91" s="43" t="str">
        <f>'2025'!G92</f>
        <v>COIHUECO</v>
      </c>
      <c r="F91" s="75">
        <f>'2025'!I92</f>
        <v>0</v>
      </c>
      <c r="G91" s="75">
        <f>'2025'!B92</f>
        <v>45921</v>
      </c>
      <c r="H91" s="43" t="str">
        <f>'2025'!M92</f>
        <v>MASCULINO</v>
      </c>
      <c r="I91" s="43">
        <f>'2025'!N92</f>
        <v>3500</v>
      </c>
      <c r="J91" s="43"/>
      <c r="K91" s="43" t="str">
        <f>'2025'!AR92</f>
        <v>RECUPERACION</v>
      </c>
    </row>
    <row r="92" spans="1:11" x14ac:dyDescent="0.25">
      <c r="A92" s="43">
        <f>'2025'!A94</f>
        <v>91</v>
      </c>
      <c r="B92" s="43">
        <f>'2025'!E93</f>
        <v>0</v>
      </c>
      <c r="C92" s="43">
        <f>'2025'!F93</f>
        <v>0</v>
      </c>
      <c r="D92" s="43" t="s">
        <v>110</v>
      </c>
      <c r="E92" s="43" t="str">
        <f>'2025'!G93</f>
        <v>EL CARMEN</v>
      </c>
      <c r="F92" s="75">
        <f>'2025'!I93</f>
        <v>0</v>
      </c>
      <c r="G92" s="75">
        <f>'2025'!B93</f>
        <v>45921</v>
      </c>
      <c r="H92" s="43" t="str">
        <f>'2025'!M93</f>
        <v>MASCULINO</v>
      </c>
      <c r="I92" s="43">
        <f>'2025'!N93</f>
        <v>2910</v>
      </c>
      <c r="J92" s="43"/>
      <c r="K92" s="43" t="str">
        <f>'2025'!AR93</f>
        <v>SALA</v>
      </c>
    </row>
    <row r="93" spans="1:11" x14ac:dyDescent="0.25">
      <c r="A93" s="43">
        <f>'2025'!A95</f>
        <v>92</v>
      </c>
      <c r="B93" s="43">
        <f>'2025'!E94</f>
        <v>0</v>
      </c>
      <c r="C93" s="43">
        <f>'2025'!F94</f>
        <v>0</v>
      </c>
      <c r="D93" s="43" t="s">
        <v>110</v>
      </c>
      <c r="E93" s="43" t="str">
        <f>'2025'!G94</f>
        <v>CHILLAN</v>
      </c>
      <c r="F93" s="75">
        <f>'2025'!I94</f>
        <v>0</v>
      </c>
      <c r="G93" s="75">
        <f>'2025'!B94</f>
        <v>45922</v>
      </c>
      <c r="H93" s="43" t="str">
        <f>'2025'!M94</f>
        <v>FEMENINO</v>
      </c>
      <c r="I93" s="43">
        <f>'2025'!N94</f>
        <v>1670</v>
      </c>
      <c r="J93" s="43"/>
      <c r="K93" s="43" t="str">
        <f>'2025'!AR94</f>
        <v>TIM NEO</v>
      </c>
    </row>
    <row r="94" spans="1:11" x14ac:dyDescent="0.25">
      <c r="A94" s="43">
        <f>'2025'!A96</f>
        <v>93</v>
      </c>
      <c r="B94" s="43">
        <f>'2025'!E95</f>
        <v>0</v>
      </c>
      <c r="C94" s="43">
        <f>'2025'!F95</f>
        <v>0</v>
      </c>
      <c r="D94" s="43" t="s">
        <v>110</v>
      </c>
      <c r="E94" s="43" t="str">
        <f>'2025'!G95</f>
        <v>CHILLAN</v>
      </c>
      <c r="F94" s="75">
        <f>'2025'!I95</f>
        <v>0</v>
      </c>
      <c r="G94" s="75">
        <f>'2025'!B95</f>
        <v>45922</v>
      </c>
      <c r="H94" s="43" t="str">
        <f>'2025'!M95</f>
        <v>MASCULINO</v>
      </c>
      <c r="I94" s="43">
        <f>'2025'!N95</f>
        <v>3970</v>
      </c>
      <c r="J94" s="43"/>
      <c r="K94" s="43" t="str">
        <f>'2025'!AR95</f>
        <v>RECUPERACION</v>
      </c>
    </row>
    <row r="95" spans="1:11" x14ac:dyDescent="0.25">
      <c r="A95" s="43">
        <f>'2025'!A97</f>
        <v>94</v>
      </c>
      <c r="B95" s="43">
        <f>'2025'!E96</f>
        <v>0</v>
      </c>
      <c r="C95" s="43">
        <f>'2025'!F96</f>
        <v>0</v>
      </c>
      <c r="D95" s="43" t="s">
        <v>110</v>
      </c>
      <c r="E95" s="43" t="str">
        <f>'2025'!G96</f>
        <v>EL CARMEN</v>
      </c>
      <c r="F95" s="75">
        <f>'2025'!I96</f>
        <v>0</v>
      </c>
      <c r="G95" s="75">
        <f>'2025'!B96</f>
        <v>45922</v>
      </c>
      <c r="H95" s="43" t="str">
        <f>'2025'!M96</f>
        <v>FEMENINO</v>
      </c>
      <c r="I95" s="43">
        <f>'2025'!N96</f>
        <v>3060</v>
      </c>
      <c r="J95" s="43"/>
      <c r="K95" s="43" t="str">
        <f>'2025'!AR96</f>
        <v>RECUPERACION</v>
      </c>
    </row>
    <row r="96" spans="1:11" x14ac:dyDescent="0.25">
      <c r="A96" s="43">
        <f>'2025'!A98</f>
        <v>95</v>
      </c>
      <c r="B96" s="43">
        <f>'2025'!E97</f>
        <v>0</v>
      </c>
      <c r="C96" s="43">
        <f>'2025'!F97</f>
        <v>0</v>
      </c>
      <c r="D96" s="43"/>
      <c r="E96" s="43" t="str">
        <f>'2025'!G97</f>
        <v>COELEMU</v>
      </c>
      <c r="F96" s="75">
        <f>'2025'!I97</f>
        <v>0</v>
      </c>
      <c r="G96" s="75">
        <f>'2025'!B97</f>
        <v>45922</v>
      </c>
      <c r="H96" s="43" t="str">
        <f>'2025'!M97</f>
        <v>MASCULINO</v>
      </c>
      <c r="I96" s="43">
        <f>'2025'!N97</f>
        <v>1350</v>
      </c>
      <c r="J96" s="43"/>
      <c r="K96" s="43" t="str">
        <f>'2025'!AR97</f>
        <v>TIM NEO</v>
      </c>
    </row>
    <row r="97" spans="1:11" x14ac:dyDescent="0.25">
      <c r="A97" s="43">
        <f>'2025'!A99</f>
        <v>96</v>
      </c>
      <c r="B97" s="43">
        <f>'2025'!E98</f>
        <v>0</v>
      </c>
      <c r="C97" s="43">
        <f>'2025'!F98</f>
        <v>0</v>
      </c>
      <c r="D97" s="43"/>
      <c r="E97" s="43" t="str">
        <f>'2025'!G98</f>
        <v>CHILLAN</v>
      </c>
      <c r="F97" s="75">
        <f>'2025'!I98</f>
        <v>0</v>
      </c>
      <c r="G97" s="75">
        <f>'2025'!B98</f>
        <v>45922</v>
      </c>
      <c r="H97" s="43" t="str">
        <f>'2025'!M98</f>
        <v>FEMENINO</v>
      </c>
      <c r="I97" s="43">
        <f>'2025'!N98</f>
        <v>3260</v>
      </c>
      <c r="J97" s="43"/>
      <c r="K97" s="43" t="str">
        <f>'2025'!AR98</f>
        <v>SALA</v>
      </c>
    </row>
    <row r="98" spans="1:11" x14ac:dyDescent="0.25">
      <c r="A98" s="43">
        <f>'2025'!A100</f>
        <v>97</v>
      </c>
      <c r="B98" s="43">
        <f>'2025'!E99</f>
        <v>0</v>
      </c>
      <c r="C98" s="43">
        <f>'2025'!F99</f>
        <v>0</v>
      </c>
      <c r="D98" s="43"/>
      <c r="E98" s="43" t="str">
        <f>'2025'!G99</f>
        <v>CHILLÁN VIEJO</v>
      </c>
      <c r="F98" s="75">
        <f>'2025'!I99</f>
        <v>0</v>
      </c>
      <c r="G98" s="75">
        <f>'2025'!B99</f>
        <v>45922</v>
      </c>
      <c r="H98" s="43" t="str">
        <f>'2025'!M99</f>
        <v>FEMENINO</v>
      </c>
      <c r="I98" s="43">
        <f>'2025'!N99</f>
        <v>3180</v>
      </c>
      <c r="J98" s="43"/>
      <c r="K98" s="43" t="str">
        <f>'2025'!AR99</f>
        <v>RECUPERACION</v>
      </c>
    </row>
    <row r="99" spans="1:11" x14ac:dyDescent="0.25">
      <c r="A99" s="43">
        <f>'2025'!A101</f>
        <v>98</v>
      </c>
      <c r="B99" s="43">
        <f>'2025'!E100</f>
        <v>0</v>
      </c>
      <c r="C99" s="43">
        <f>'2025'!F100</f>
        <v>0</v>
      </c>
      <c r="D99" s="43"/>
      <c r="E99" s="43" t="str">
        <f>'2025'!G100</f>
        <v>CHILLAN</v>
      </c>
      <c r="F99" s="75">
        <f>'2025'!I100</f>
        <v>0</v>
      </c>
      <c r="G99" s="75">
        <f>'2025'!B100</f>
        <v>45922</v>
      </c>
      <c r="H99" s="43" t="str">
        <f>'2025'!M100</f>
        <v>MASCULINO</v>
      </c>
      <c r="I99" s="43">
        <f>'2025'!N100</f>
        <v>4130</v>
      </c>
      <c r="J99" s="43"/>
      <c r="K99" s="43" t="str">
        <f>'2025'!AR100</f>
        <v>RECUPERACION</v>
      </c>
    </row>
    <row r="100" spans="1:11" x14ac:dyDescent="0.25">
      <c r="A100" s="43">
        <f>'2025'!A102</f>
        <v>99</v>
      </c>
      <c r="B100" s="43">
        <f>'2025'!E101</f>
        <v>0</v>
      </c>
      <c r="C100" s="43">
        <f>'2025'!F101</f>
        <v>0</v>
      </c>
      <c r="D100" s="43"/>
      <c r="E100" s="43" t="str">
        <f>'2025'!G101</f>
        <v>CHILLAN</v>
      </c>
      <c r="F100" s="75">
        <f>'2025'!I101</f>
        <v>0</v>
      </c>
      <c r="G100" s="75">
        <f>'2025'!B101</f>
        <v>45922</v>
      </c>
      <c r="H100" s="43" t="str">
        <f>'2025'!M101</f>
        <v>FEMENINO</v>
      </c>
      <c r="I100" s="43">
        <f>'2025'!N101</f>
        <v>3420</v>
      </c>
      <c r="J100" s="43"/>
      <c r="K100" s="43" t="str">
        <f>'2025'!AR101</f>
        <v>RECUPERACION</v>
      </c>
    </row>
    <row r="101" spans="1:11" x14ac:dyDescent="0.25">
      <c r="A101" s="43">
        <f>'2025'!A103</f>
        <v>100</v>
      </c>
      <c r="B101" s="43">
        <f>'2025'!E102</f>
        <v>0</v>
      </c>
      <c r="C101" s="43">
        <f>'2025'!F102</f>
        <v>0</v>
      </c>
      <c r="D101" s="43"/>
      <c r="E101" s="43" t="str">
        <f>'2025'!G102</f>
        <v>QUIRIQUINA</v>
      </c>
      <c r="F101" s="75">
        <f>'2025'!I102</f>
        <v>0</v>
      </c>
      <c r="G101" s="75">
        <f>'2025'!B102</f>
        <v>45923</v>
      </c>
      <c r="H101" s="43" t="str">
        <f>'2025'!M102</f>
        <v>MASCULINO</v>
      </c>
      <c r="I101" s="43">
        <f>'2025'!N102</f>
        <v>3230</v>
      </c>
      <c r="J101" s="43"/>
      <c r="K101" s="43" t="str">
        <f>'2025'!AR102</f>
        <v>RECUPERACION</v>
      </c>
    </row>
    <row r="102" spans="1:11" x14ac:dyDescent="0.25">
      <c r="A102" s="43">
        <f>'2025'!A104</f>
        <v>101</v>
      </c>
      <c r="B102" s="43">
        <f>'2025'!E103</f>
        <v>0</v>
      </c>
      <c r="C102" s="43">
        <f>'2025'!F103</f>
        <v>0</v>
      </c>
      <c r="D102" s="43"/>
      <c r="E102" s="43" t="str">
        <f>'2025'!G103</f>
        <v>COIHUECO</v>
      </c>
      <c r="F102" s="75">
        <f>'2025'!I103</f>
        <v>0</v>
      </c>
      <c r="G102" s="75">
        <f>'2025'!B103</f>
        <v>45923</v>
      </c>
      <c r="H102" s="43" t="str">
        <f>'2025'!M103</f>
        <v>MASCULINO</v>
      </c>
      <c r="I102" s="43">
        <f>'2025'!N103</f>
        <v>4060</v>
      </c>
      <c r="J102" s="43"/>
      <c r="K102" s="43" t="str">
        <f>'2025'!AR103</f>
        <v>RECUPERACION</v>
      </c>
    </row>
    <row r="103" spans="1:11" x14ac:dyDescent="0.25">
      <c r="A103" s="43">
        <f>'2025'!A105</f>
        <v>102</v>
      </c>
      <c r="B103" s="43">
        <f>'2025'!E104</f>
        <v>0</v>
      </c>
      <c r="C103" s="43">
        <f>'2025'!F104</f>
        <v>0</v>
      </c>
      <c r="D103" s="43"/>
      <c r="E103" s="43" t="str">
        <f>'2025'!G104</f>
        <v>CHILLAN</v>
      </c>
      <c r="F103" s="75">
        <f>'2025'!I104</f>
        <v>0</v>
      </c>
      <c r="G103" s="75">
        <f>'2025'!B104</f>
        <v>45923</v>
      </c>
      <c r="H103" s="43" t="str">
        <f>'2025'!M104</f>
        <v>FEMENINO</v>
      </c>
      <c r="I103" s="43">
        <f>'2025'!N104</f>
        <v>3830</v>
      </c>
      <c r="J103" s="43"/>
      <c r="K103" s="43" t="str">
        <f>'2025'!AR104</f>
        <v>SALA</v>
      </c>
    </row>
    <row r="104" spans="1:11" x14ac:dyDescent="0.25">
      <c r="A104" s="43">
        <f>'2025'!A106</f>
        <v>103</v>
      </c>
      <c r="B104" s="43">
        <f>'2025'!E105</f>
        <v>0</v>
      </c>
      <c r="C104" s="43">
        <f>'2025'!F105</f>
        <v>0</v>
      </c>
      <c r="D104" s="43"/>
      <c r="E104" s="43" t="str">
        <f>'2025'!G105</f>
        <v>EL CARMEN</v>
      </c>
      <c r="F104" s="75">
        <f>'2025'!I105</f>
        <v>0</v>
      </c>
      <c r="G104" s="75">
        <f>'2025'!B105</f>
        <v>45923</v>
      </c>
      <c r="H104" s="43" t="str">
        <f>'2025'!M105</f>
        <v>MASCULINO</v>
      </c>
      <c r="I104" s="43">
        <f>'2025'!N105</f>
        <v>2480</v>
      </c>
      <c r="J104" s="43"/>
      <c r="K104" s="43" t="str">
        <f>'2025'!AR105</f>
        <v>TIM NEO</v>
      </c>
    </row>
    <row r="105" spans="1:11" x14ac:dyDescent="0.25">
      <c r="A105" s="43">
        <f>'2025'!A107</f>
        <v>104</v>
      </c>
      <c r="B105" s="43">
        <f>'2025'!E106</f>
        <v>0</v>
      </c>
      <c r="C105" s="43">
        <f>'2025'!F106</f>
        <v>0</v>
      </c>
      <c r="D105" s="43"/>
      <c r="E105" s="43">
        <f>'2025'!G106</f>
        <v>0</v>
      </c>
      <c r="F105" s="75">
        <f>'2025'!I106</f>
        <v>0</v>
      </c>
      <c r="G105" s="75">
        <f>'2025'!B106</f>
        <v>45923</v>
      </c>
      <c r="H105" s="43" t="str">
        <f>'2025'!M106</f>
        <v>MASCULINO</v>
      </c>
      <c r="I105" s="43">
        <f>'2025'!N106</f>
        <v>2399</v>
      </c>
      <c r="J105" s="43"/>
      <c r="K105" s="43" t="str">
        <f>'2025'!AR106</f>
        <v>TIM NEO</v>
      </c>
    </row>
    <row r="106" spans="1:11" x14ac:dyDescent="0.25">
      <c r="A106" s="43">
        <f>'2025'!A108</f>
        <v>105</v>
      </c>
      <c r="B106" s="43">
        <f>'2025'!E107</f>
        <v>0</v>
      </c>
      <c r="C106" s="43">
        <f>'2025'!F107</f>
        <v>0</v>
      </c>
      <c r="D106" s="43"/>
      <c r="E106" s="43" t="str">
        <f>'2025'!G107</f>
        <v>BULNES</v>
      </c>
      <c r="F106" s="75">
        <f>'2025'!I107</f>
        <v>0</v>
      </c>
      <c r="G106" s="75">
        <f>'2025'!B107</f>
        <v>45923</v>
      </c>
      <c r="H106" s="43" t="str">
        <f>'2025'!M107</f>
        <v>FEMENINO</v>
      </c>
      <c r="I106" s="43">
        <f>'2025'!N107</f>
        <v>2800</v>
      </c>
      <c r="J106" s="43"/>
      <c r="K106" s="43" t="str">
        <f>'2025'!AR107</f>
        <v>SALA</v>
      </c>
    </row>
    <row r="107" spans="1:11" x14ac:dyDescent="0.25">
      <c r="A107" s="43">
        <f>'2025'!A109</f>
        <v>106</v>
      </c>
      <c r="B107" s="43">
        <f>'2025'!E108</f>
        <v>0</v>
      </c>
      <c r="C107" s="43">
        <f>'2025'!F108</f>
        <v>0</v>
      </c>
      <c r="D107" s="43"/>
      <c r="E107" s="43" t="str">
        <f>'2025'!G108</f>
        <v>EL ROSAL</v>
      </c>
      <c r="F107" s="75">
        <f>'2025'!I108</f>
        <v>0</v>
      </c>
      <c r="G107" s="75">
        <f>'2025'!B108</f>
        <v>45923</v>
      </c>
      <c r="H107" s="43" t="str">
        <f>'2025'!M108</f>
        <v>FEMENINO</v>
      </c>
      <c r="I107" s="43">
        <f>'2025'!N108</f>
        <v>3400</v>
      </c>
      <c r="J107" s="43"/>
      <c r="K107" s="43" t="str">
        <f>'2025'!AR108</f>
        <v>SALA</v>
      </c>
    </row>
    <row r="108" spans="1:11" x14ac:dyDescent="0.25">
      <c r="A108" s="43">
        <f>'2025'!A110</f>
        <v>107</v>
      </c>
      <c r="B108" s="43">
        <f>'2025'!E109</f>
        <v>0</v>
      </c>
      <c r="C108" s="43">
        <f>'2025'!F109</f>
        <v>0</v>
      </c>
      <c r="D108" s="43"/>
      <c r="E108" s="43" t="str">
        <f>'2025'!G109</f>
        <v>CHILLAN VIEJO</v>
      </c>
      <c r="F108" s="75">
        <f>'2025'!I109</f>
        <v>0</v>
      </c>
      <c r="G108" s="75">
        <f>'2025'!B109</f>
        <v>45924</v>
      </c>
      <c r="H108" s="43" t="str">
        <f>'2025'!M109</f>
        <v>MASCULINO</v>
      </c>
      <c r="I108" s="43">
        <f>'2025'!N109</f>
        <v>3050</v>
      </c>
      <c r="J108" s="43"/>
      <c r="K108" s="43" t="str">
        <f>'2025'!AR109</f>
        <v>SALA</v>
      </c>
    </row>
    <row r="109" spans="1:11" x14ac:dyDescent="0.25">
      <c r="A109" s="43">
        <f>'2025'!A111</f>
        <v>108</v>
      </c>
      <c r="B109" s="43">
        <f>'2025'!E110</f>
        <v>0</v>
      </c>
      <c r="C109" s="43">
        <f>'2025'!F110</f>
        <v>0</v>
      </c>
      <c r="D109" s="43"/>
      <c r="E109" s="43" t="str">
        <f>'2025'!G110</f>
        <v>CHILLAN</v>
      </c>
      <c r="F109" s="75">
        <f>'2025'!I110</f>
        <v>0</v>
      </c>
      <c r="G109" s="75">
        <f>'2025'!B110</f>
        <v>45924</v>
      </c>
      <c r="H109" s="43" t="str">
        <f>'2025'!M110</f>
        <v>MASCULINO</v>
      </c>
      <c r="I109" s="43">
        <f>'2025'!N110</f>
        <v>3810</v>
      </c>
      <c r="J109" s="43"/>
      <c r="K109" s="43" t="str">
        <f>'2025'!AR110</f>
        <v>SALA</v>
      </c>
    </row>
    <row r="110" spans="1:11" x14ac:dyDescent="0.25">
      <c r="A110" s="43">
        <f>'2025'!A112</f>
        <v>109</v>
      </c>
      <c r="B110" s="43">
        <f>'2025'!E111</f>
        <v>0</v>
      </c>
      <c r="C110" s="43">
        <f>'2025'!F111</f>
        <v>0</v>
      </c>
      <c r="D110" s="43"/>
      <c r="E110" s="43" t="str">
        <f>'2025'!G111</f>
        <v>PEMUCO</v>
      </c>
      <c r="F110" s="75">
        <f>'2025'!I111</f>
        <v>0</v>
      </c>
      <c r="G110" s="75">
        <f>'2025'!B111</f>
        <v>45924</v>
      </c>
      <c r="H110" s="43" t="str">
        <f>'2025'!M111</f>
        <v>MASCULINO</v>
      </c>
      <c r="I110" s="43">
        <f>'2025'!N111</f>
        <v>2665</v>
      </c>
      <c r="J110" s="43"/>
      <c r="K110" s="43" t="str">
        <f>'2025'!AR111</f>
        <v>SALA</v>
      </c>
    </row>
    <row r="111" spans="1:11" x14ac:dyDescent="0.25">
      <c r="A111" s="43">
        <f>'2025'!A113</f>
        <v>110</v>
      </c>
      <c r="B111" s="43">
        <f>'2025'!E112</f>
        <v>0</v>
      </c>
      <c r="C111" s="43">
        <f>'2025'!F112</f>
        <v>0</v>
      </c>
      <c r="D111" s="43"/>
      <c r="E111" s="43" t="str">
        <f>'2025'!G112</f>
        <v>EL CARMEN</v>
      </c>
      <c r="F111" s="75">
        <f>'2025'!I112</f>
        <v>0</v>
      </c>
      <c r="G111" s="75">
        <f>'2025'!B112</f>
        <v>45924</v>
      </c>
      <c r="H111" s="43" t="str">
        <f>'2025'!M112</f>
        <v>FEMENINO</v>
      </c>
      <c r="I111" s="43">
        <f>'2025'!N112</f>
        <v>4100</v>
      </c>
      <c r="J111" s="43"/>
      <c r="K111" s="43" t="str">
        <f>'2025'!AR112</f>
        <v>RECUPERACION</v>
      </c>
    </row>
    <row r="112" spans="1:11" x14ac:dyDescent="0.25">
      <c r="A112" s="43">
        <f>'2025'!A114</f>
        <v>111</v>
      </c>
      <c r="B112" s="43">
        <f>'2025'!E113</f>
        <v>0</v>
      </c>
      <c r="C112" s="43">
        <f>'2025'!F113</f>
        <v>0</v>
      </c>
      <c r="D112" s="43"/>
      <c r="E112" s="43" t="str">
        <f>'2025'!G113</f>
        <v>CHILLAN</v>
      </c>
      <c r="F112" s="75">
        <f>'2025'!I113</f>
        <v>0</v>
      </c>
      <c r="G112" s="75">
        <f>'2025'!B113</f>
        <v>45924</v>
      </c>
      <c r="H112" s="43" t="str">
        <f>'2025'!M113</f>
        <v>MASCULINO</v>
      </c>
      <c r="I112" s="43">
        <f>'2025'!N113</f>
        <v>1620</v>
      </c>
      <c r="J112" s="43"/>
      <c r="K112" s="43" t="str">
        <f>'2025'!AR113</f>
        <v>UCI</v>
      </c>
    </row>
    <row r="113" spans="1:11" x14ac:dyDescent="0.25">
      <c r="A113" s="43">
        <f>'2025'!A115</f>
        <v>112</v>
      </c>
      <c r="B113" s="43">
        <f>'2025'!E114</f>
        <v>0</v>
      </c>
      <c r="C113" s="43">
        <f>'2025'!F114</f>
        <v>0</v>
      </c>
      <c r="D113" s="43"/>
      <c r="E113" s="43" t="str">
        <f>'2025'!G114</f>
        <v>CHILLAN</v>
      </c>
      <c r="F113" s="75">
        <f>'2025'!I114</f>
        <v>0</v>
      </c>
      <c r="G113" s="75">
        <f>'2025'!B114</f>
        <v>45925</v>
      </c>
      <c r="H113" s="43" t="str">
        <f>'2025'!M114</f>
        <v>MASCULINO</v>
      </c>
      <c r="I113" s="43">
        <f>'2025'!N114</f>
        <v>2795</v>
      </c>
      <c r="J113" s="43"/>
      <c r="K113" s="43" t="str">
        <f>'2025'!AR114</f>
        <v>SALA</v>
      </c>
    </row>
    <row r="114" spans="1:11" x14ac:dyDescent="0.25">
      <c r="A114" s="43">
        <f>'2025'!A116</f>
        <v>113</v>
      </c>
      <c r="B114" s="43">
        <f>'2025'!E115</f>
        <v>0</v>
      </c>
      <c r="C114" s="43">
        <f>'2025'!F115</f>
        <v>0</v>
      </c>
      <c r="D114" s="43"/>
      <c r="E114" s="43" t="str">
        <f>'2025'!G115</f>
        <v>SAN IGNACIO</v>
      </c>
      <c r="F114" s="75">
        <f>'2025'!I115</f>
        <v>0</v>
      </c>
      <c r="G114" s="75">
        <f>'2025'!B115</f>
        <v>45925</v>
      </c>
      <c r="H114" s="43" t="str">
        <f>'2025'!M115</f>
        <v>MASCULINO</v>
      </c>
      <c r="I114" s="43">
        <f>'2025'!N115</f>
        <v>3390</v>
      </c>
      <c r="J114" s="43"/>
      <c r="K114" s="43" t="str">
        <f>'2025'!AR115</f>
        <v>RECUPERACION</v>
      </c>
    </row>
    <row r="115" spans="1:11" x14ac:dyDescent="0.25">
      <c r="A115" s="43">
        <f>'2025'!A117</f>
        <v>114</v>
      </c>
      <c r="B115" s="43">
        <f>'2025'!E116</f>
        <v>0</v>
      </c>
      <c r="C115" s="43">
        <f>'2025'!F116</f>
        <v>0</v>
      </c>
      <c r="D115" s="43"/>
      <c r="E115" s="43" t="str">
        <f>'2025'!G116</f>
        <v>COIHUECO</v>
      </c>
      <c r="F115" s="75">
        <f>'2025'!I116</f>
        <v>0</v>
      </c>
      <c r="G115" s="75">
        <f>'2025'!B116</f>
        <v>45925</v>
      </c>
      <c r="H115" s="43" t="str">
        <f>'2025'!M116</f>
        <v>FEMENINO</v>
      </c>
      <c r="I115" s="43">
        <f>'2025'!N116</f>
        <v>3050</v>
      </c>
      <c r="J115" s="43"/>
      <c r="K115" s="43" t="str">
        <f>'2025'!AR116</f>
        <v>RECUPERACION</v>
      </c>
    </row>
    <row r="116" spans="1:11" x14ac:dyDescent="0.25">
      <c r="A116" s="43">
        <f>'2025'!A118</f>
        <v>115</v>
      </c>
      <c r="B116" s="43">
        <f>'2025'!E117</f>
        <v>0</v>
      </c>
      <c r="C116" s="43">
        <f>'2025'!F117</f>
        <v>0</v>
      </c>
      <c r="D116" s="43"/>
      <c r="E116" s="43" t="str">
        <f>'2025'!G117</f>
        <v>CHILLAN</v>
      </c>
      <c r="F116" s="75">
        <f>'2025'!I117</f>
        <v>0</v>
      </c>
      <c r="G116" s="75">
        <f>'2025'!B117</f>
        <v>45925</v>
      </c>
      <c r="H116" s="43" t="str">
        <f>'2025'!M117</f>
        <v>MASCULINO</v>
      </c>
      <c r="I116" s="43">
        <f>'2025'!N117</f>
        <v>2920</v>
      </c>
      <c r="J116" s="43"/>
      <c r="K116" s="43" t="str">
        <f>'2025'!AR117</f>
        <v>UCI NEO</v>
      </c>
    </row>
    <row r="117" spans="1:11" x14ac:dyDescent="0.25">
      <c r="A117" s="43">
        <f>'2025'!A119</f>
        <v>116</v>
      </c>
      <c r="B117" s="43">
        <f>'2025'!E118</f>
        <v>0</v>
      </c>
      <c r="C117" s="43">
        <f>'2025'!F118</f>
        <v>0</v>
      </c>
      <c r="D117" s="43"/>
      <c r="E117" s="43" t="str">
        <f>'2025'!G118</f>
        <v>COIHUECO</v>
      </c>
      <c r="F117" s="75">
        <f>'2025'!I118</f>
        <v>0</v>
      </c>
      <c r="G117" s="75">
        <f>'2025'!B118</f>
        <v>45925</v>
      </c>
      <c r="H117" s="43" t="str">
        <f>'2025'!M118</f>
        <v>FEMENINO</v>
      </c>
      <c r="I117" s="43">
        <f>'2025'!N118</f>
        <v>3390</v>
      </c>
      <c r="J117" s="43"/>
      <c r="K117" s="43" t="str">
        <f>'2025'!AR118</f>
        <v>RECUPERACIÓN</v>
      </c>
    </row>
    <row r="118" spans="1:11" x14ac:dyDescent="0.25">
      <c r="A118" s="43">
        <f>'2025'!A120</f>
        <v>117</v>
      </c>
      <c r="B118" s="43">
        <f>'2025'!E119</f>
        <v>0</v>
      </c>
      <c r="C118" s="43">
        <f>'2025'!F119</f>
        <v>0</v>
      </c>
      <c r="D118" s="43"/>
      <c r="E118" s="43" t="str">
        <f>'2025'!G119</f>
        <v>PUEBLO SECO</v>
      </c>
      <c r="F118" s="75">
        <f>'2025'!I119</f>
        <v>0</v>
      </c>
      <c r="G118" s="75">
        <f>'2025'!B119</f>
        <v>45925</v>
      </c>
      <c r="H118" s="43" t="str">
        <f>'2025'!M119</f>
        <v>FEMENINO</v>
      </c>
      <c r="I118" s="43">
        <f>'2025'!N119</f>
        <v>4020</v>
      </c>
      <c r="J118" s="43"/>
      <c r="K118" s="43" t="str">
        <f>'2025'!AR119</f>
        <v>RECUPERACION</v>
      </c>
    </row>
    <row r="119" spans="1:11" x14ac:dyDescent="0.25">
      <c r="A119" s="43">
        <f>'2025'!A121</f>
        <v>118</v>
      </c>
      <c r="B119" s="43">
        <f>'2025'!E120</f>
        <v>0</v>
      </c>
      <c r="C119" s="43">
        <f>'2025'!F120</f>
        <v>0</v>
      </c>
      <c r="D119" s="43"/>
      <c r="E119" s="43" t="str">
        <f>'2025'!G120</f>
        <v>YUNGAY</v>
      </c>
      <c r="F119" s="75">
        <f>'2025'!I120</f>
        <v>0</v>
      </c>
      <c r="G119" s="75">
        <f>'2025'!B120</f>
        <v>45925</v>
      </c>
      <c r="H119" s="43" t="str">
        <f>'2025'!M120</f>
        <v>MASCULINO</v>
      </c>
      <c r="I119" s="43">
        <f>'2025'!N120</f>
        <v>4330</v>
      </c>
      <c r="J119" s="43"/>
      <c r="K119" s="43" t="str">
        <f>'2025'!AR120</f>
        <v>RECUPERACION</v>
      </c>
    </row>
    <row r="120" spans="1:11" x14ac:dyDescent="0.25">
      <c r="A120" s="43">
        <f>'2025'!A122</f>
        <v>119</v>
      </c>
      <c r="B120" s="43">
        <f>'2025'!E121</f>
        <v>0</v>
      </c>
      <c r="C120" s="43">
        <f>'2025'!F121</f>
        <v>0</v>
      </c>
      <c r="D120" s="43"/>
      <c r="E120" s="43" t="str">
        <f>'2025'!G121</f>
        <v>CHILLAN</v>
      </c>
      <c r="F120" s="75">
        <f>'2025'!I121</f>
        <v>0</v>
      </c>
      <c r="G120" s="75">
        <f>'2025'!B121</f>
        <v>45926</v>
      </c>
      <c r="H120" s="43" t="str">
        <f>'2025'!M121</f>
        <v>FEMENINO</v>
      </c>
      <c r="I120" s="43">
        <f>'2025'!N121</f>
        <v>3550</v>
      </c>
      <c r="J120" s="43"/>
      <c r="K120" s="43" t="str">
        <f>'2025'!AR121</f>
        <v>RECUPERACION</v>
      </c>
    </row>
    <row r="121" spans="1:11" x14ac:dyDescent="0.25">
      <c r="A121" s="43">
        <f>'2025'!A123</f>
        <v>120</v>
      </c>
      <c r="B121" s="43">
        <f>'2025'!E122</f>
        <v>0</v>
      </c>
      <c r="C121" s="43">
        <f>'2025'!F122</f>
        <v>0</v>
      </c>
      <c r="D121" s="43"/>
      <c r="E121" s="43" t="str">
        <f>'2025'!G122</f>
        <v>COIHUECO</v>
      </c>
      <c r="F121" s="75">
        <f>'2025'!I122</f>
        <v>0</v>
      </c>
      <c r="G121" s="75">
        <f>'2025'!B122</f>
        <v>45926</v>
      </c>
      <c r="H121" s="43" t="str">
        <f>'2025'!M122</f>
        <v>FEMENINO</v>
      </c>
      <c r="I121" s="43">
        <f>'2025'!N122</f>
        <v>4005</v>
      </c>
      <c r="J121" s="43"/>
      <c r="K121" s="43" t="str">
        <f>'2025'!AR122</f>
        <v>SALA</v>
      </c>
    </row>
    <row r="122" spans="1:11" x14ac:dyDescent="0.25">
      <c r="A122" s="43">
        <f>'2025'!A124</f>
        <v>121</v>
      </c>
      <c r="B122" s="43">
        <f>'2025'!E123</f>
        <v>0</v>
      </c>
      <c r="C122" s="43">
        <f>'2025'!F123</f>
        <v>0</v>
      </c>
      <c r="D122" s="43"/>
      <c r="E122" s="43" t="str">
        <f>'2025'!G123</f>
        <v>CHILLAN</v>
      </c>
      <c r="F122" s="75">
        <f>'2025'!I123</f>
        <v>0</v>
      </c>
      <c r="G122" s="75">
        <f>'2025'!B123</f>
        <v>45927</v>
      </c>
      <c r="H122" s="43" t="str">
        <f>'2025'!M123</f>
        <v>MASCULINO</v>
      </c>
      <c r="I122" s="43">
        <f>'2025'!N123</f>
        <v>950</v>
      </c>
      <c r="J122" s="43"/>
      <c r="K122" s="43" t="str">
        <f>'2025'!AR123</f>
        <v>UCI NEO</v>
      </c>
    </row>
    <row r="123" spans="1:11" x14ac:dyDescent="0.25">
      <c r="A123" s="43">
        <f>'2025'!A125</f>
        <v>122</v>
      </c>
      <c r="B123" s="43">
        <f>'2025'!E124</f>
        <v>0</v>
      </c>
      <c r="C123" s="43">
        <f>'2025'!F124</f>
        <v>0</v>
      </c>
      <c r="D123" s="43"/>
      <c r="E123" s="43" t="str">
        <f>'2025'!G124</f>
        <v>CHILLAN</v>
      </c>
      <c r="F123" s="75">
        <f>'2025'!I124</f>
        <v>0</v>
      </c>
      <c r="G123" s="75">
        <f>'2025'!B124</f>
        <v>45927</v>
      </c>
      <c r="H123" s="43" t="str">
        <f>'2025'!M124</f>
        <v>FEMENINO</v>
      </c>
      <c r="I123" s="43">
        <f>'2025'!N124</f>
        <v>3310</v>
      </c>
      <c r="J123" s="43"/>
      <c r="K123" s="43" t="str">
        <f>'2025'!AR124</f>
        <v>SALA</v>
      </c>
    </row>
    <row r="124" spans="1:11" x14ac:dyDescent="0.25">
      <c r="A124" s="43">
        <f>'2025'!A126</f>
        <v>123</v>
      </c>
      <c r="B124" s="43">
        <f>'2025'!E125</f>
        <v>0</v>
      </c>
      <c r="C124" s="43">
        <f>'2025'!F125</f>
        <v>0</v>
      </c>
      <c r="D124" s="43"/>
      <c r="E124" s="43" t="str">
        <f>'2025'!G125</f>
        <v>HUALPEN</v>
      </c>
      <c r="F124" s="75">
        <f>'2025'!I125</f>
        <v>0</v>
      </c>
      <c r="G124" s="75">
        <f>'2025'!B125</f>
        <v>45927</v>
      </c>
      <c r="H124" s="43" t="str">
        <f>'2025'!M125</f>
        <v>FEMENINO</v>
      </c>
      <c r="I124" s="43">
        <f>'2025'!N125</f>
        <v>3860</v>
      </c>
      <c r="J124" s="43"/>
      <c r="K124" s="43" t="str">
        <f>'2025'!AR125</f>
        <v>SALA</v>
      </c>
    </row>
    <row r="125" spans="1:11" x14ac:dyDescent="0.25">
      <c r="A125" s="43">
        <f>'2025'!A127</f>
        <v>124</v>
      </c>
      <c r="B125" s="43">
        <f>'2025'!E126</f>
        <v>0</v>
      </c>
      <c r="C125" s="43">
        <f>'2025'!F126</f>
        <v>0</v>
      </c>
      <c r="D125" s="43"/>
      <c r="E125" s="43" t="str">
        <f>'2025'!G126</f>
        <v>PINTO</v>
      </c>
      <c r="F125" s="75">
        <f>'2025'!I126</f>
        <v>0</v>
      </c>
      <c r="G125" s="75">
        <f>'2025'!B126</f>
        <v>45928</v>
      </c>
      <c r="H125" s="43" t="str">
        <f>'2025'!M126</f>
        <v>FEMENINO</v>
      </c>
      <c r="I125" s="43">
        <f>'2025'!N126</f>
        <v>2450</v>
      </c>
      <c r="J125" s="43"/>
      <c r="K125" s="43" t="str">
        <f>'2025'!AR126</f>
        <v>RECUPERACION</v>
      </c>
    </row>
    <row r="126" spans="1:11" x14ac:dyDescent="0.25">
      <c r="A126" s="43">
        <f>'2025'!A128</f>
        <v>125</v>
      </c>
      <c r="B126" s="43">
        <f>'2025'!E127</f>
        <v>0</v>
      </c>
      <c r="C126" s="43">
        <f>'2025'!F127</f>
        <v>0</v>
      </c>
      <c r="D126" s="43"/>
      <c r="E126" s="43" t="str">
        <f>'2025'!G127</f>
        <v>COIHUECO</v>
      </c>
      <c r="F126" s="75">
        <f>'2025'!I127</f>
        <v>0</v>
      </c>
      <c r="G126" s="75">
        <f>'2025'!B127</f>
        <v>45928</v>
      </c>
      <c r="H126" s="43" t="str">
        <f>'2025'!M127</f>
        <v>MASCULINO</v>
      </c>
      <c r="I126" s="43">
        <f>'2025'!N127</f>
        <v>3350</v>
      </c>
      <c r="J126" s="43"/>
      <c r="K126" s="43" t="str">
        <f>'2025'!AR127</f>
        <v>RECUPERACION</v>
      </c>
    </row>
    <row r="127" spans="1:11" x14ac:dyDescent="0.25">
      <c r="A127" s="43">
        <f>'2025'!A129</f>
        <v>126</v>
      </c>
      <c r="B127" s="43">
        <f>'2025'!E128</f>
        <v>0</v>
      </c>
      <c r="C127" s="43">
        <f>'2025'!F128</f>
        <v>0</v>
      </c>
      <c r="D127" s="43"/>
      <c r="E127" s="43" t="str">
        <f>'2025'!G128</f>
        <v>COELEMU</v>
      </c>
      <c r="F127" s="75">
        <f>'2025'!I128</f>
        <v>0</v>
      </c>
      <c r="G127" s="75">
        <f>'2025'!B128</f>
        <v>45928</v>
      </c>
      <c r="H127" s="43" t="str">
        <f>'2025'!M128</f>
        <v>FEMENINO</v>
      </c>
      <c r="I127" s="43">
        <f>'2025'!N128</f>
        <v>3390</v>
      </c>
      <c r="J127" s="43"/>
      <c r="K127" s="43" t="str">
        <f>'2025'!AR128</f>
        <v>SALA</v>
      </c>
    </row>
    <row r="128" spans="1:11" x14ac:dyDescent="0.25">
      <c r="A128" s="43">
        <f>'2025'!A130</f>
        <v>127</v>
      </c>
      <c r="B128" s="43">
        <f>'2025'!E129</f>
        <v>0</v>
      </c>
      <c r="C128" s="43">
        <f>'2025'!F129</f>
        <v>0</v>
      </c>
      <c r="D128" s="43" t="s">
        <v>110</v>
      </c>
      <c r="E128" s="43" t="str">
        <f>'2025'!G129</f>
        <v>CHILLAN</v>
      </c>
      <c r="F128" s="75">
        <f>'2025'!I129</f>
        <v>0</v>
      </c>
      <c r="G128" s="75">
        <f>'2025'!B129</f>
        <v>45928</v>
      </c>
      <c r="H128" s="43" t="str">
        <f>'2025'!M129</f>
        <v>MASCULINO</v>
      </c>
      <c r="I128" s="43">
        <f>'2025'!N129</f>
        <v>2360</v>
      </c>
      <c r="J128" s="43"/>
      <c r="K128" s="43" t="str">
        <f>'2025'!AR129</f>
        <v>BASICO</v>
      </c>
    </row>
    <row r="129" spans="1:11" x14ac:dyDescent="0.25">
      <c r="A129" s="43">
        <f>'2025'!A131</f>
        <v>128</v>
      </c>
      <c r="B129" s="43">
        <f>'2025'!E130</f>
        <v>0</v>
      </c>
      <c r="C129" s="43">
        <f>'2025'!F130</f>
        <v>0</v>
      </c>
      <c r="D129" s="43" t="s">
        <v>110</v>
      </c>
      <c r="E129" s="43" t="str">
        <f>'2025'!G130</f>
        <v>BULNES</v>
      </c>
      <c r="F129" s="75">
        <f>'2025'!I130</f>
        <v>0</v>
      </c>
      <c r="G129" s="75">
        <f>'2025'!B130</f>
        <v>45928</v>
      </c>
      <c r="H129" s="43" t="str">
        <f>'2025'!M130</f>
        <v>MASCULINO</v>
      </c>
      <c r="I129" s="43">
        <f>'2025'!N130</f>
        <v>1310</v>
      </c>
      <c r="J129" s="43"/>
      <c r="K129" s="43" t="str">
        <f>'2025'!AR130</f>
        <v>UCI</v>
      </c>
    </row>
    <row r="130" spans="1:11" x14ac:dyDescent="0.25">
      <c r="A130" s="43">
        <f>'2025'!A132</f>
        <v>129</v>
      </c>
      <c r="B130" s="43">
        <f>'2025'!E131</f>
        <v>0</v>
      </c>
      <c r="C130" s="43">
        <f>'2025'!F131</f>
        <v>0</v>
      </c>
      <c r="D130" s="43" t="s">
        <v>110</v>
      </c>
      <c r="E130" s="43" t="str">
        <f>'2025'!G131</f>
        <v>CHILLAN VIEJO</v>
      </c>
      <c r="F130" s="75">
        <f>'2025'!I131</f>
        <v>0</v>
      </c>
      <c r="G130" s="75">
        <f>'2025'!B131</f>
        <v>45928</v>
      </c>
      <c r="H130" s="43" t="str">
        <f>'2025'!M131</f>
        <v>MASCULINO</v>
      </c>
      <c r="I130" s="43">
        <f>'2025'!N131</f>
        <v>3190</v>
      </c>
      <c r="J130" s="43"/>
      <c r="K130" s="43" t="str">
        <f>'2025'!AR131</f>
        <v>RECUPERACION</v>
      </c>
    </row>
    <row r="131" spans="1:11" x14ac:dyDescent="0.25">
      <c r="A131" s="43">
        <f>'2025'!A133</f>
        <v>130</v>
      </c>
      <c r="B131" s="43">
        <f>'2025'!E132</f>
        <v>0</v>
      </c>
      <c r="C131" s="43">
        <f>'2025'!F132</f>
        <v>0</v>
      </c>
      <c r="D131" s="43" t="s">
        <v>110</v>
      </c>
      <c r="E131" s="43" t="str">
        <f>'2025'!G132</f>
        <v>COIHUECO</v>
      </c>
      <c r="F131" s="75">
        <f>'2025'!I132</f>
        <v>0</v>
      </c>
      <c r="G131" s="75">
        <f>'2025'!B132</f>
        <v>45929</v>
      </c>
      <c r="H131" s="43" t="str">
        <f>'2025'!M132</f>
        <v>MASCULINO</v>
      </c>
      <c r="I131" s="43">
        <f>'2025'!N132</f>
        <v>2010</v>
      </c>
      <c r="J131" s="43"/>
      <c r="K131" s="43" t="str">
        <f>'2025'!AR132</f>
        <v>SALA</v>
      </c>
    </row>
    <row r="132" spans="1:11" x14ac:dyDescent="0.25">
      <c r="A132" s="43">
        <f>'2025'!A134</f>
        <v>131</v>
      </c>
      <c r="B132" s="43">
        <f>'2025'!E133</f>
        <v>0</v>
      </c>
      <c r="C132" s="43">
        <f>'2025'!F133</f>
        <v>0</v>
      </c>
      <c r="D132" s="43" t="s">
        <v>110</v>
      </c>
      <c r="E132" s="43" t="str">
        <f>'2025'!G133</f>
        <v>CHILLAN</v>
      </c>
      <c r="F132" s="75">
        <f>'2025'!I133</f>
        <v>0</v>
      </c>
      <c r="G132" s="75">
        <f>'2025'!B133</f>
        <v>45929</v>
      </c>
      <c r="H132" s="43" t="str">
        <f>'2025'!M133</f>
        <v>FEMENINO</v>
      </c>
      <c r="I132" s="43">
        <f>'2025'!N133</f>
        <v>3290</v>
      </c>
      <c r="J132" s="43"/>
      <c r="K132" s="43" t="str">
        <f>'2025'!AR133</f>
        <v>RECUPERACION</v>
      </c>
    </row>
    <row r="133" spans="1:11" x14ac:dyDescent="0.25">
      <c r="A133" s="43">
        <f>'2025'!A135</f>
        <v>132</v>
      </c>
      <c r="B133" s="43">
        <f>'2025'!E134</f>
        <v>0</v>
      </c>
      <c r="C133" s="43">
        <f>'2025'!F134</f>
        <v>0</v>
      </c>
      <c r="D133" s="43" t="s">
        <v>110</v>
      </c>
      <c r="E133" s="43" t="str">
        <f>'2025'!G134</f>
        <v>YUNGAY</v>
      </c>
      <c r="F133" s="75">
        <f>'2025'!I134</f>
        <v>0</v>
      </c>
      <c r="G133" s="75">
        <f>'2025'!B134</f>
        <v>45929</v>
      </c>
      <c r="H133" s="43" t="str">
        <f>'2025'!M134</f>
        <v>FEMENINO</v>
      </c>
      <c r="I133" s="43">
        <f>'2025'!N134</f>
        <v>2241</v>
      </c>
      <c r="J133" s="43"/>
      <c r="K133" s="43" t="str">
        <f>'2025'!AR134</f>
        <v>RECUPERACION</v>
      </c>
    </row>
    <row r="134" spans="1:11" x14ac:dyDescent="0.25">
      <c r="A134" s="43">
        <f>'2025'!A136</f>
        <v>133</v>
      </c>
      <c r="B134" s="43">
        <f>'2025'!E135</f>
        <v>0</v>
      </c>
      <c r="C134" s="43">
        <f>'2025'!F135</f>
        <v>0</v>
      </c>
      <c r="D134" s="43" t="s">
        <v>110</v>
      </c>
      <c r="E134" s="43">
        <f>'2025'!G135</f>
        <v>0</v>
      </c>
      <c r="F134" s="75">
        <f>'2025'!I135</f>
        <v>0</v>
      </c>
      <c r="G134" s="75">
        <f>'2025'!B135</f>
        <v>0</v>
      </c>
      <c r="H134" s="43" t="str">
        <f>'2025'!M135</f>
        <v>MASCULINO</v>
      </c>
      <c r="I134" s="43">
        <f>'2025'!N135</f>
        <v>3070</v>
      </c>
      <c r="J134" s="43"/>
      <c r="K134" s="43" t="str">
        <f>'2025'!AR135</f>
        <v>RECUPERACION</v>
      </c>
    </row>
    <row r="135" spans="1:11" x14ac:dyDescent="0.25">
      <c r="A135" s="43">
        <f>'2025'!A137</f>
        <v>134</v>
      </c>
      <c r="B135" s="43">
        <f>'2025'!E136</f>
        <v>0</v>
      </c>
      <c r="C135" s="43">
        <f>'2025'!F136</f>
        <v>0</v>
      </c>
      <c r="D135" s="43" t="s">
        <v>110</v>
      </c>
      <c r="E135" s="43" t="str">
        <f>'2025'!G136</f>
        <v>CHILLAN</v>
      </c>
      <c r="F135" s="75">
        <f>'2025'!I136</f>
        <v>0</v>
      </c>
      <c r="G135" s="75">
        <f>'2025'!B136</f>
        <v>45929</v>
      </c>
      <c r="H135" s="43" t="str">
        <f>'2025'!M136</f>
        <v>FEMENINO</v>
      </c>
      <c r="I135" s="43">
        <f>'2025'!N136</f>
        <v>2660</v>
      </c>
      <c r="J135" s="43"/>
      <c r="K135" s="43" t="str">
        <f>'2025'!AR136</f>
        <v>SALA</v>
      </c>
    </row>
    <row r="136" spans="1:11" x14ac:dyDescent="0.25">
      <c r="A136" s="43">
        <f>'2025'!A138</f>
        <v>135</v>
      </c>
      <c r="B136" s="43">
        <f>'2025'!E137</f>
        <v>0</v>
      </c>
      <c r="C136" s="43">
        <f>'2025'!F137</f>
        <v>0</v>
      </c>
      <c r="D136" s="43" t="s">
        <v>110</v>
      </c>
      <c r="E136" s="43" t="str">
        <f>'2025'!G137</f>
        <v>CHILLAN</v>
      </c>
      <c r="F136" s="75">
        <f>'2025'!I137</f>
        <v>0</v>
      </c>
      <c r="G136" s="75">
        <f>'2025'!B137</f>
        <v>45929</v>
      </c>
      <c r="H136" s="43" t="str">
        <f>'2025'!M137</f>
        <v>FEMENINO</v>
      </c>
      <c r="I136" s="43">
        <f>'2025'!N137</f>
        <v>2920</v>
      </c>
      <c r="J136" s="43"/>
      <c r="K136" s="43" t="str">
        <f>'2025'!AR137</f>
        <v>SALA</v>
      </c>
    </row>
    <row r="137" spans="1:11" x14ac:dyDescent="0.25">
      <c r="A137" s="43">
        <f>'2025'!A139</f>
        <v>136</v>
      </c>
      <c r="B137" s="43">
        <f>'2025'!E138</f>
        <v>0</v>
      </c>
      <c r="C137" s="43">
        <f>'2025'!F138</f>
        <v>0</v>
      </c>
      <c r="D137" s="43" t="s">
        <v>110</v>
      </c>
      <c r="E137" s="43" t="str">
        <f>'2025'!G138</f>
        <v>QUILLON</v>
      </c>
      <c r="F137" s="75">
        <f>'2025'!I138</f>
        <v>0</v>
      </c>
      <c r="G137" s="75">
        <f>'2025'!B138</f>
        <v>45929</v>
      </c>
      <c r="H137" s="43" t="str">
        <f>'2025'!M138</f>
        <v>MASCULINO</v>
      </c>
      <c r="I137" s="43">
        <f>'2025'!N138</f>
        <v>3290</v>
      </c>
      <c r="J137" s="43"/>
      <c r="K137" s="43" t="str">
        <f>'2025'!AR138</f>
        <v>RECUPERACION</v>
      </c>
    </row>
    <row r="138" spans="1:11" x14ac:dyDescent="0.25">
      <c r="A138" s="43">
        <f>'2025'!A140</f>
        <v>137</v>
      </c>
      <c r="B138" s="43">
        <f>'2025'!E139</f>
        <v>0</v>
      </c>
      <c r="C138" s="43">
        <f>'2025'!F139</f>
        <v>0</v>
      </c>
      <c r="D138" s="43"/>
      <c r="E138" s="43" t="str">
        <f>'2025'!G139</f>
        <v>CHILLAN</v>
      </c>
      <c r="F138" s="75">
        <f>'2025'!I139</f>
        <v>0</v>
      </c>
      <c r="G138" s="75">
        <f>'2025'!B139</f>
        <v>45929</v>
      </c>
      <c r="H138" s="43" t="str">
        <f>'2025'!M139</f>
        <v>FEMENINO</v>
      </c>
      <c r="I138" s="43">
        <f>'2025'!N139</f>
        <v>2090</v>
      </c>
      <c r="J138" s="43"/>
      <c r="K138" s="43" t="str">
        <f>'2025'!AR139</f>
        <v>RECUPERACION</v>
      </c>
    </row>
    <row r="139" spans="1:11" x14ac:dyDescent="0.25">
      <c r="A139" s="43">
        <f>'2025'!A141</f>
        <v>138</v>
      </c>
      <c r="B139" s="43">
        <f>'2025'!E140</f>
        <v>0</v>
      </c>
      <c r="C139" s="43">
        <f>'2025'!F140</f>
        <v>0</v>
      </c>
      <c r="D139" s="43"/>
      <c r="E139" s="43" t="str">
        <f>'2025'!G140</f>
        <v>CHILLAN</v>
      </c>
      <c r="F139" s="75">
        <f>'2025'!I140</f>
        <v>0</v>
      </c>
      <c r="G139" s="75">
        <f>'2025'!B140</f>
        <v>45929</v>
      </c>
      <c r="H139" s="43" t="str">
        <f>'2025'!M140</f>
        <v>FEMENINO</v>
      </c>
      <c r="I139" s="43">
        <f>'2025'!N140</f>
        <v>2650</v>
      </c>
      <c r="J139" s="43"/>
      <c r="K139" s="43" t="str">
        <f>'2025'!AR140</f>
        <v>SALA</v>
      </c>
    </row>
    <row r="140" spans="1:11" x14ac:dyDescent="0.25">
      <c r="A140" s="43">
        <f>'2025'!A142</f>
        <v>139</v>
      </c>
      <c r="B140" s="43">
        <f>'2025'!E141</f>
        <v>0</v>
      </c>
      <c r="C140" s="43">
        <f>'2025'!F141</f>
        <v>0</v>
      </c>
      <c r="D140" s="43"/>
      <c r="E140" s="43" t="str">
        <f>'2025'!G141</f>
        <v>QUILLON</v>
      </c>
      <c r="F140" s="75">
        <f>'2025'!I141</f>
        <v>0</v>
      </c>
      <c r="G140" s="75">
        <f>'2025'!B141</f>
        <v>45930</v>
      </c>
      <c r="H140" s="43" t="str">
        <f>'2025'!M141</f>
        <v>MASCULINO</v>
      </c>
      <c r="I140" s="43">
        <f>'2025'!N141</f>
        <v>3190</v>
      </c>
      <c r="J140" s="43"/>
      <c r="K140" s="43" t="str">
        <f>'2025'!AR141</f>
        <v>RECUPERACION</v>
      </c>
    </row>
    <row r="141" spans="1:11" x14ac:dyDescent="0.25">
      <c r="A141" s="43">
        <f>'2025'!A143</f>
        <v>140</v>
      </c>
      <c r="B141" s="43">
        <f>'2025'!E142</f>
        <v>0</v>
      </c>
      <c r="C141" s="43">
        <f>'2025'!F142</f>
        <v>0</v>
      </c>
      <c r="D141" s="43"/>
      <c r="E141" s="43" t="str">
        <f>'2025'!G142</f>
        <v>QUINCHAMALI</v>
      </c>
      <c r="F141" s="75">
        <f>'2025'!I142</f>
        <v>0</v>
      </c>
      <c r="G141" s="75">
        <f>'2025'!B142</f>
        <v>45930</v>
      </c>
      <c r="H141" s="43" t="str">
        <f>'2025'!M142</f>
        <v>MASCULINO</v>
      </c>
      <c r="I141" s="43">
        <f>'2025'!N142</f>
        <v>3930</v>
      </c>
      <c r="J141" s="43"/>
      <c r="K141" s="43" t="str">
        <f>'2025'!AR142</f>
        <v>RECUPERACION</v>
      </c>
    </row>
    <row r="142" spans="1:11" x14ac:dyDescent="0.25">
      <c r="A142" s="43">
        <f>'2025'!A144</f>
        <v>141</v>
      </c>
      <c r="B142" s="43">
        <f>'2025'!E143</f>
        <v>0</v>
      </c>
      <c r="C142" s="43">
        <f>'2025'!F143</f>
        <v>0</v>
      </c>
      <c r="D142" s="43"/>
      <c r="E142" s="43" t="str">
        <f>'2025'!G143</f>
        <v>CHILLAN</v>
      </c>
      <c r="F142" s="75">
        <f>'2025'!I143</f>
        <v>0</v>
      </c>
      <c r="G142" s="75">
        <f>'2025'!B143</f>
        <v>45930</v>
      </c>
      <c r="H142" s="43" t="str">
        <f>'2025'!M143</f>
        <v>MASCULINO</v>
      </c>
      <c r="I142" s="43">
        <f>'2025'!N143</f>
        <v>3140</v>
      </c>
      <c r="J142" s="43"/>
      <c r="K142" s="43" t="str">
        <f>'2025'!AR143</f>
        <v>SALA</v>
      </c>
    </row>
    <row r="143" spans="1:11" x14ac:dyDescent="0.25">
      <c r="A143" s="43">
        <f>'2025'!A145</f>
        <v>142</v>
      </c>
      <c r="B143" s="43">
        <f>'2025'!E144</f>
        <v>0</v>
      </c>
      <c r="C143" s="43">
        <f>'2025'!F144</f>
        <v>0</v>
      </c>
      <c r="D143" s="43"/>
      <c r="E143" s="43" t="str">
        <f>'2025'!G144</f>
        <v>PUEBLO SECO</v>
      </c>
      <c r="F143" s="75">
        <f>'2025'!I144</f>
        <v>0</v>
      </c>
      <c r="G143" s="75">
        <f>'2025'!B144</f>
        <v>45930</v>
      </c>
      <c r="H143" s="43" t="str">
        <f>'2025'!M144</f>
        <v>MASCULINO</v>
      </c>
      <c r="I143" s="43">
        <f>'2025'!N144</f>
        <v>3670</v>
      </c>
      <c r="J143" s="43"/>
      <c r="K143" s="43" t="str">
        <f>'2025'!AR144</f>
        <v>SALA</v>
      </c>
    </row>
    <row r="144" spans="1:11" x14ac:dyDescent="0.25">
      <c r="A144" s="43">
        <f>'2025'!A146</f>
        <v>143</v>
      </c>
      <c r="B144" s="43">
        <f>'2025'!E145</f>
        <v>0</v>
      </c>
      <c r="C144" s="43">
        <f>'2025'!F145</f>
        <v>0</v>
      </c>
      <c r="D144" s="43"/>
      <c r="E144" s="43" t="str">
        <f>'2025'!G145</f>
        <v>CHILLAN</v>
      </c>
      <c r="F144" s="75">
        <f>'2025'!I145</f>
        <v>0</v>
      </c>
      <c r="G144" s="75">
        <f>'2025'!B145</f>
        <v>45930</v>
      </c>
      <c r="H144" s="43" t="str">
        <f>'2025'!M145</f>
        <v>MASCULINO</v>
      </c>
      <c r="I144" s="43">
        <f>'2025'!N145</f>
        <v>3470</v>
      </c>
      <c r="J144" s="43"/>
      <c r="K144" s="43" t="str">
        <f>'2025'!AR145</f>
        <v>SALA</v>
      </c>
    </row>
    <row r="145" spans="1:11" x14ac:dyDescent="0.25">
      <c r="A145" s="43">
        <f>'2025'!A147</f>
        <v>152</v>
      </c>
      <c r="B145" s="43">
        <f>'2025'!E146</f>
        <v>0</v>
      </c>
      <c r="C145" s="43">
        <f>'2025'!F146</f>
        <v>0</v>
      </c>
      <c r="D145" s="43"/>
      <c r="E145" s="43">
        <f>'2025'!G147</f>
        <v>0</v>
      </c>
      <c r="F145" s="75">
        <f>'2025'!I146</f>
        <v>0</v>
      </c>
      <c r="G145" s="75">
        <f>'2025'!B146</f>
        <v>45930</v>
      </c>
      <c r="H145" s="43" t="str">
        <f>'2025'!M146</f>
        <v>MASCULINO</v>
      </c>
      <c r="I145" s="43">
        <f>'2025'!N146</f>
        <v>2190</v>
      </c>
      <c r="J145" s="43"/>
      <c r="K145" s="43" t="str">
        <f>'2025'!AR146</f>
        <v>SALA</v>
      </c>
    </row>
    <row r="146" spans="1:11" x14ac:dyDescent="0.25">
      <c r="A146" s="43">
        <f>'2025'!A148</f>
        <v>153</v>
      </c>
      <c r="B146" s="43">
        <f>'2025'!E147</f>
        <v>0</v>
      </c>
      <c r="C146" s="43">
        <f>'2025'!F147</f>
        <v>0</v>
      </c>
      <c r="D146" s="43"/>
      <c r="E146" s="43" t="e">
        <f>'2025'!#REF!</f>
        <v>#REF!</v>
      </c>
      <c r="F146" s="75">
        <f>'2025'!I147</f>
        <v>0</v>
      </c>
      <c r="G146" s="75">
        <f>'2025'!B147</f>
        <v>0</v>
      </c>
      <c r="H146" s="43">
        <f>'2025'!M147</f>
        <v>0</v>
      </c>
      <c r="I146" s="43">
        <f>'2025'!N147</f>
        <v>0</v>
      </c>
      <c r="J146" s="43"/>
      <c r="K146" s="43">
        <f>'2025'!AR147</f>
        <v>0</v>
      </c>
    </row>
    <row r="147" spans="1:11" x14ac:dyDescent="0.25">
      <c r="A147" s="43" t="e">
        <f>'2025'!#REF!</f>
        <v>#REF!</v>
      </c>
      <c r="B147" s="43">
        <f>'2025'!E148</f>
        <v>0</v>
      </c>
      <c r="C147" s="43">
        <f>'2025'!F148</f>
        <v>0</v>
      </c>
      <c r="D147" s="43"/>
      <c r="E147" s="43">
        <f>'2025'!G148</f>
        <v>0</v>
      </c>
      <c r="F147" s="75">
        <f>'2025'!I148</f>
        <v>0</v>
      </c>
      <c r="G147" s="75">
        <f>'2025'!B148</f>
        <v>0</v>
      </c>
      <c r="H147" s="43">
        <f>'2025'!M148</f>
        <v>0</v>
      </c>
      <c r="I147" s="43">
        <f>'2025'!N148</f>
        <v>0</v>
      </c>
      <c r="J147" s="43"/>
      <c r="K147" s="43">
        <f>'2025'!AR148</f>
        <v>0</v>
      </c>
    </row>
    <row r="148" spans="1:11" x14ac:dyDescent="0.25">
      <c r="A148" s="43" t="e">
        <f>'2025'!#REF!</f>
        <v>#REF!</v>
      </c>
      <c r="B148" s="43" t="e">
        <f>'2025'!#REF!</f>
        <v>#REF!</v>
      </c>
      <c r="C148" s="43" t="e">
        <f>'2025'!#REF!</f>
        <v>#REF!</v>
      </c>
      <c r="D148" s="43"/>
      <c r="E148" s="43" t="e">
        <f>'2025'!#REF!</f>
        <v>#REF!</v>
      </c>
      <c r="F148" s="75" t="e">
        <f>'2025'!#REF!</f>
        <v>#REF!</v>
      </c>
      <c r="G148" s="75" t="e">
        <f>'2025'!#REF!</f>
        <v>#REF!</v>
      </c>
      <c r="H148" s="43" t="e">
        <f>'2025'!#REF!</f>
        <v>#REF!</v>
      </c>
      <c r="I148" s="43" t="e">
        <f>'2025'!#REF!</f>
        <v>#REF!</v>
      </c>
      <c r="J148" s="43"/>
      <c r="K148" s="43" t="e">
        <f>'2025'!#REF!</f>
        <v>#REF!</v>
      </c>
    </row>
    <row r="149" spans="1:11" x14ac:dyDescent="0.25">
      <c r="A149" s="43">
        <f>'2025'!A149</f>
        <v>154</v>
      </c>
      <c r="B149" s="43" t="e">
        <f>'2025'!#REF!</f>
        <v>#REF!</v>
      </c>
      <c r="C149" s="43" t="e">
        <f>'2025'!#REF!</f>
        <v>#REF!</v>
      </c>
      <c r="D149" s="43"/>
      <c r="E149" s="43" t="e">
        <f>'2025'!#REF!</f>
        <v>#REF!</v>
      </c>
      <c r="F149" s="75" t="e">
        <f>'2025'!#REF!</f>
        <v>#REF!</v>
      </c>
      <c r="G149" s="75" t="e">
        <f>'2025'!#REF!</f>
        <v>#REF!</v>
      </c>
      <c r="H149" s="43" t="e">
        <f>'2025'!#REF!</f>
        <v>#REF!</v>
      </c>
      <c r="I149" s="43" t="e">
        <f>'2025'!#REF!</f>
        <v>#REF!</v>
      </c>
      <c r="J149" s="43"/>
      <c r="K149" s="43" t="e">
        <f>'2025'!#REF!</f>
        <v>#REF!</v>
      </c>
    </row>
    <row r="150" spans="1:11" x14ac:dyDescent="0.25">
      <c r="A150" s="43">
        <f>'2025'!A150</f>
        <v>155</v>
      </c>
      <c r="B150" s="43">
        <f>'2025'!E149</f>
        <v>0</v>
      </c>
      <c r="C150" s="43">
        <f>'2025'!F149</f>
        <v>0</v>
      </c>
      <c r="D150" s="43"/>
      <c r="E150" s="43">
        <f>'2025'!G149</f>
        <v>0</v>
      </c>
      <c r="F150" s="75">
        <f>'2025'!I149</f>
        <v>0</v>
      </c>
      <c r="G150" s="75">
        <f>'2025'!B149</f>
        <v>0</v>
      </c>
      <c r="H150" s="43">
        <f>'2025'!M149</f>
        <v>0</v>
      </c>
      <c r="I150" s="43">
        <f>'2025'!N149</f>
        <v>0</v>
      </c>
      <c r="J150" s="43"/>
      <c r="K150" s="43">
        <f>'2025'!AR149</f>
        <v>0</v>
      </c>
    </row>
    <row r="151" spans="1:11" x14ac:dyDescent="0.25">
      <c r="A151" s="43">
        <f>'2025'!A151</f>
        <v>156</v>
      </c>
      <c r="B151" s="43">
        <f>'2025'!E151</f>
        <v>0</v>
      </c>
      <c r="C151" s="43">
        <f>'2025'!F151</f>
        <v>0</v>
      </c>
      <c r="D151" s="43"/>
      <c r="E151" s="43">
        <f>'2025'!G151</f>
        <v>0</v>
      </c>
      <c r="F151" s="75">
        <f>'2025'!I151</f>
        <v>0</v>
      </c>
      <c r="G151" s="75">
        <f>'2025'!B151</f>
        <v>0</v>
      </c>
      <c r="H151" s="43">
        <f>'2025'!M151</f>
        <v>0</v>
      </c>
      <c r="I151" s="43">
        <f>'2025'!N151</f>
        <v>0</v>
      </c>
      <c r="J151" s="43"/>
      <c r="K151" s="43">
        <f>'2025'!AR151</f>
        <v>0</v>
      </c>
    </row>
    <row r="152" spans="1:11" x14ac:dyDescent="0.25">
      <c r="A152" s="43">
        <f>'2025'!A152</f>
        <v>157</v>
      </c>
      <c r="B152" s="43" t="e">
        <f>'2025'!#REF!</f>
        <v>#REF!</v>
      </c>
      <c r="C152" s="43" t="e">
        <f>'2025'!#REF!</f>
        <v>#REF!</v>
      </c>
      <c r="D152" s="43"/>
      <c r="E152" s="43" t="e">
        <f>'2025'!#REF!</f>
        <v>#REF!</v>
      </c>
      <c r="F152" s="75" t="e">
        <f>'2025'!#REF!</f>
        <v>#REF!</v>
      </c>
      <c r="G152" s="75" t="e">
        <f>'2025'!#REF!</f>
        <v>#REF!</v>
      </c>
      <c r="H152" s="43" t="e">
        <f>'2025'!#REF!</f>
        <v>#REF!</v>
      </c>
      <c r="I152" s="43" t="e">
        <f>'2025'!#REF!</f>
        <v>#REF!</v>
      </c>
      <c r="J152" s="43"/>
      <c r="K152" s="43" t="e">
        <f>'2025'!#REF!</f>
        <v>#REF!</v>
      </c>
    </row>
    <row r="153" spans="1:11" x14ac:dyDescent="0.25">
      <c r="A153" s="43">
        <f>'2025'!A153</f>
        <v>158</v>
      </c>
      <c r="B153" s="43">
        <f>'2025'!E152</f>
        <v>0</v>
      </c>
      <c r="C153" s="43">
        <f>'2025'!F152</f>
        <v>0</v>
      </c>
      <c r="D153" s="43"/>
      <c r="E153" s="43">
        <f>'2025'!G152</f>
        <v>0</v>
      </c>
      <c r="F153" s="75">
        <f>'2025'!I152</f>
        <v>0</v>
      </c>
      <c r="G153" s="75">
        <f>'2025'!B152</f>
        <v>0</v>
      </c>
      <c r="H153" s="43">
        <f>'2025'!M152</f>
        <v>0</v>
      </c>
      <c r="I153" s="43">
        <f>'2025'!N152</f>
        <v>0</v>
      </c>
      <c r="J153" s="43"/>
      <c r="K153" s="43">
        <f>'2025'!AR152</f>
        <v>0</v>
      </c>
    </row>
    <row r="154" spans="1:11" x14ac:dyDescent="0.25">
      <c r="A154" s="43">
        <f>'2025'!A154</f>
        <v>159</v>
      </c>
      <c r="B154" s="43">
        <f>'2025'!E153</f>
        <v>0</v>
      </c>
      <c r="C154" s="43">
        <f>'2025'!F153</f>
        <v>0</v>
      </c>
      <c r="D154" s="43"/>
      <c r="E154" s="43">
        <f>'2025'!G153</f>
        <v>0</v>
      </c>
      <c r="F154" s="75">
        <f>'2025'!I153</f>
        <v>0</v>
      </c>
      <c r="G154" s="75">
        <f>'2025'!B153</f>
        <v>0</v>
      </c>
      <c r="H154" s="43">
        <f>'2025'!M153</f>
        <v>0</v>
      </c>
      <c r="I154" s="43">
        <f>'2025'!N153</f>
        <v>0</v>
      </c>
      <c r="J154" s="43"/>
      <c r="K154" s="43">
        <f>'2025'!AR153</f>
        <v>0</v>
      </c>
    </row>
    <row r="155" spans="1:11" x14ac:dyDescent="0.25">
      <c r="A155" s="43">
        <f>'2025'!A155</f>
        <v>160</v>
      </c>
      <c r="B155" s="43">
        <f>'2025'!E154</f>
        <v>0</v>
      </c>
      <c r="C155" s="43">
        <f>'2025'!F154</f>
        <v>0</v>
      </c>
      <c r="D155" s="43"/>
      <c r="E155" s="43">
        <f>'2025'!G154</f>
        <v>0</v>
      </c>
      <c r="F155" s="75">
        <f>'2025'!I154</f>
        <v>0</v>
      </c>
      <c r="G155" s="75">
        <f>'2025'!B154</f>
        <v>0</v>
      </c>
      <c r="H155" s="43">
        <f>'2025'!M154</f>
        <v>0</v>
      </c>
      <c r="I155" s="43">
        <f>'2025'!N154</f>
        <v>0</v>
      </c>
      <c r="J155" s="43"/>
      <c r="K155" s="43">
        <f>'2025'!AR154</f>
        <v>0</v>
      </c>
    </row>
    <row r="156" spans="1:11" x14ac:dyDescent="0.25">
      <c r="A156" s="43">
        <f>'2025'!A156</f>
        <v>161</v>
      </c>
      <c r="B156" s="43">
        <f>'2025'!E155</f>
        <v>0</v>
      </c>
      <c r="C156" s="43">
        <f>'2025'!F155</f>
        <v>0</v>
      </c>
      <c r="D156" s="43"/>
      <c r="E156" s="43">
        <f>'2025'!G155</f>
        <v>0</v>
      </c>
      <c r="F156" s="75">
        <f>'2025'!I155</f>
        <v>0</v>
      </c>
      <c r="G156" s="75">
        <f>'2025'!B155</f>
        <v>0</v>
      </c>
      <c r="H156" s="43">
        <f>'2025'!M155</f>
        <v>0</v>
      </c>
      <c r="I156" s="43">
        <f>'2025'!N155</f>
        <v>0</v>
      </c>
      <c r="J156" s="43"/>
      <c r="K156" s="43">
        <f>'2025'!AR155</f>
        <v>0</v>
      </c>
    </row>
    <row r="157" spans="1:11" x14ac:dyDescent="0.25">
      <c r="A157" s="43">
        <f>'2025'!A157</f>
        <v>162</v>
      </c>
      <c r="B157" s="43">
        <f>'2025'!E156</f>
        <v>0</v>
      </c>
      <c r="C157" s="43">
        <f>'2025'!F156</f>
        <v>0</v>
      </c>
      <c r="D157" s="43"/>
      <c r="E157" s="43">
        <f>'2025'!G156</f>
        <v>0</v>
      </c>
      <c r="F157" s="75">
        <f>'2025'!I156</f>
        <v>0</v>
      </c>
      <c r="G157" s="75">
        <f>'2025'!B156</f>
        <v>0</v>
      </c>
      <c r="H157" s="43">
        <f>'2025'!M156</f>
        <v>0</v>
      </c>
      <c r="I157" s="43">
        <f>'2025'!N156</f>
        <v>0</v>
      </c>
      <c r="J157" s="43"/>
      <c r="K157" s="43">
        <f>'2025'!AR156</f>
        <v>0</v>
      </c>
    </row>
    <row r="158" spans="1:11" x14ac:dyDescent="0.25">
      <c r="A158" s="43">
        <f>'2025'!A158</f>
        <v>163</v>
      </c>
      <c r="B158" s="43">
        <f>'2025'!E157</f>
        <v>0</v>
      </c>
      <c r="C158" s="43">
        <f>'2025'!F157</f>
        <v>0</v>
      </c>
      <c r="D158" s="43"/>
      <c r="E158" s="43">
        <f>'2025'!G157</f>
        <v>0</v>
      </c>
      <c r="F158" s="75">
        <f>'2025'!I157</f>
        <v>0</v>
      </c>
      <c r="G158" s="75">
        <f>'2025'!B157</f>
        <v>0</v>
      </c>
      <c r="H158" s="43">
        <f>'2025'!M157</f>
        <v>0</v>
      </c>
      <c r="I158" s="43">
        <f>'2025'!N157</f>
        <v>0</v>
      </c>
      <c r="J158" s="43"/>
      <c r="K158" s="43">
        <f>'2025'!AR157</f>
        <v>0</v>
      </c>
    </row>
    <row r="159" spans="1:11" x14ac:dyDescent="0.25">
      <c r="A159" s="43">
        <f>'2025'!A159</f>
        <v>164</v>
      </c>
      <c r="B159" s="43">
        <f>'2025'!E158</f>
        <v>0</v>
      </c>
      <c r="C159" s="43">
        <f>'2025'!F158</f>
        <v>0</v>
      </c>
      <c r="D159" s="43"/>
      <c r="E159" s="43">
        <f>'2025'!G158</f>
        <v>0</v>
      </c>
      <c r="F159" s="75">
        <f>'2025'!I158</f>
        <v>0</v>
      </c>
      <c r="G159" s="75">
        <f>'2025'!B158</f>
        <v>0</v>
      </c>
      <c r="H159" s="43">
        <f>'2025'!M158</f>
        <v>0</v>
      </c>
      <c r="I159" s="43">
        <f>'2025'!N158</f>
        <v>0</v>
      </c>
      <c r="J159" s="43"/>
      <c r="K159" s="43">
        <f>'2025'!AR158</f>
        <v>0</v>
      </c>
    </row>
    <row r="160" spans="1:11" x14ac:dyDescent="0.25">
      <c r="A160" s="43">
        <f>'2025'!A160</f>
        <v>165</v>
      </c>
      <c r="B160" s="43">
        <f>'2025'!E159</f>
        <v>0</v>
      </c>
      <c r="C160" s="43">
        <f>'2025'!F159</f>
        <v>0</v>
      </c>
      <c r="D160" s="43"/>
      <c r="E160" s="43">
        <f>'2025'!G159</f>
        <v>0</v>
      </c>
      <c r="F160" s="75">
        <f>'2025'!I159</f>
        <v>0</v>
      </c>
      <c r="G160" s="75">
        <f>'2025'!B159</f>
        <v>0</v>
      </c>
      <c r="H160" s="43">
        <f>'2025'!M159</f>
        <v>0</v>
      </c>
      <c r="I160" s="43">
        <f>'2025'!N159</f>
        <v>0</v>
      </c>
      <c r="J160" s="43"/>
      <c r="K160" s="43">
        <f>'2025'!AR159</f>
        <v>0</v>
      </c>
    </row>
    <row r="161" spans="1:11" x14ac:dyDescent="0.25">
      <c r="A161" s="43">
        <f>'2025'!A161</f>
        <v>166</v>
      </c>
      <c r="B161" s="43">
        <f>'2025'!E160</f>
        <v>0</v>
      </c>
      <c r="C161" s="43">
        <f>'2025'!F160</f>
        <v>0</v>
      </c>
      <c r="D161" s="43"/>
      <c r="E161" s="43">
        <f>'2025'!G160</f>
        <v>0</v>
      </c>
      <c r="F161" s="75">
        <f>'2025'!I160</f>
        <v>0</v>
      </c>
      <c r="G161" s="75">
        <f>'2025'!B160</f>
        <v>0</v>
      </c>
      <c r="H161" s="43">
        <f>'2025'!M160</f>
        <v>0</v>
      </c>
      <c r="I161" s="43">
        <f>'2025'!N160</f>
        <v>0</v>
      </c>
      <c r="J161" s="43"/>
      <c r="K161" s="43">
        <f>'2025'!AR160</f>
        <v>0</v>
      </c>
    </row>
    <row r="162" spans="1:11" x14ac:dyDescent="0.25">
      <c r="A162" s="43">
        <f>'2025'!A162</f>
        <v>167</v>
      </c>
      <c r="B162" s="43">
        <f>'2025'!E161</f>
        <v>0</v>
      </c>
      <c r="C162" s="43">
        <f>'2025'!F161</f>
        <v>0</v>
      </c>
      <c r="D162" s="43"/>
      <c r="E162" s="43">
        <f>'2025'!G161</f>
        <v>0</v>
      </c>
      <c r="F162" s="75">
        <f>'2025'!I161</f>
        <v>0</v>
      </c>
      <c r="G162" s="75">
        <f>'2025'!B161</f>
        <v>0</v>
      </c>
      <c r="H162" s="43">
        <f>'2025'!M161</f>
        <v>0</v>
      </c>
      <c r="I162" s="43">
        <f>'2025'!N161</f>
        <v>0</v>
      </c>
      <c r="J162" s="43"/>
      <c r="K162" s="43">
        <f>'2025'!AR161</f>
        <v>0</v>
      </c>
    </row>
    <row r="163" spans="1:11" x14ac:dyDescent="0.25">
      <c r="A163" s="43">
        <f>'2025'!A163</f>
        <v>168</v>
      </c>
      <c r="B163" s="43">
        <f>'2025'!E162</f>
        <v>0</v>
      </c>
      <c r="C163" s="43">
        <f>'2025'!F162</f>
        <v>0</v>
      </c>
      <c r="D163" s="43"/>
      <c r="E163" s="43">
        <f>'2025'!G162</f>
        <v>0</v>
      </c>
      <c r="F163" s="75">
        <f>'2025'!I162</f>
        <v>0</v>
      </c>
      <c r="G163" s="75">
        <f>'2025'!B162</f>
        <v>0</v>
      </c>
      <c r="H163" s="43">
        <f>'2025'!M162</f>
        <v>0</v>
      </c>
      <c r="I163" s="43">
        <f>'2025'!N162</f>
        <v>0</v>
      </c>
      <c r="J163" s="43"/>
      <c r="K163" s="43">
        <f>'2025'!AR162</f>
        <v>0</v>
      </c>
    </row>
    <row r="164" spans="1:11" x14ac:dyDescent="0.25">
      <c r="A164" s="43">
        <f>'2025'!A164</f>
        <v>169</v>
      </c>
      <c r="B164" s="43">
        <f>'2025'!E163</f>
        <v>0</v>
      </c>
      <c r="C164" s="43">
        <f>'2025'!F163</f>
        <v>0</v>
      </c>
      <c r="D164" s="43"/>
      <c r="E164" s="43">
        <f>'2025'!G163</f>
        <v>0</v>
      </c>
      <c r="F164" s="75">
        <f>'2025'!I163</f>
        <v>0</v>
      </c>
      <c r="G164" s="75">
        <f>'2025'!B163</f>
        <v>0</v>
      </c>
      <c r="H164" s="43">
        <f>'2025'!M163</f>
        <v>0</v>
      </c>
      <c r="I164" s="43">
        <f>'2025'!N163</f>
        <v>0</v>
      </c>
      <c r="J164" s="43"/>
      <c r="K164" s="43">
        <f>'2025'!AR163</f>
        <v>0</v>
      </c>
    </row>
    <row r="165" spans="1:11" x14ac:dyDescent="0.25">
      <c r="A165" s="43">
        <f>'2025'!A165</f>
        <v>170</v>
      </c>
      <c r="B165" s="43">
        <f>'2025'!E164</f>
        <v>0</v>
      </c>
      <c r="C165" s="43">
        <f>'2025'!F164</f>
        <v>0</v>
      </c>
      <c r="D165" s="43"/>
      <c r="E165" s="43">
        <f>'2025'!G164</f>
        <v>0</v>
      </c>
      <c r="F165" s="75">
        <f>'2025'!I164</f>
        <v>0</v>
      </c>
      <c r="G165" s="75">
        <f>'2025'!B164</f>
        <v>0</v>
      </c>
      <c r="H165" s="43">
        <f>'2025'!M164</f>
        <v>0</v>
      </c>
      <c r="I165" s="43">
        <f>'2025'!N164</f>
        <v>0</v>
      </c>
      <c r="J165" s="43"/>
      <c r="K165" s="43">
        <f>'2025'!AR164</f>
        <v>0</v>
      </c>
    </row>
    <row r="166" spans="1:11" x14ac:dyDescent="0.25">
      <c r="A166" s="43">
        <f>'2025'!A166</f>
        <v>171</v>
      </c>
      <c r="B166" s="43">
        <f>'2025'!E165</f>
        <v>0</v>
      </c>
      <c r="C166" s="43">
        <f>'2025'!F165</f>
        <v>0</v>
      </c>
      <c r="D166" s="43"/>
      <c r="E166" s="43">
        <f>'2025'!G165</f>
        <v>0</v>
      </c>
      <c r="F166" s="75">
        <f>'2025'!I165</f>
        <v>0</v>
      </c>
      <c r="G166" s="75">
        <f>'2025'!B165</f>
        <v>0</v>
      </c>
      <c r="H166" s="43">
        <f>'2025'!M165</f>
        <v>0</v>
      </c>
      <c r="I166" s="43">
        <f>'2025'!N165</f>
        <v>0</v>
      </c>
      <c r="J166" s="43"/>
      <c r="K166" s="43">
        <f>'2025'!AR165</f>
        <v>0</v>
      </c>
    </row>
    <row r="167" spans="1:11" x14ac:dyDescent="0.25">
      <c r="A167" s="43">
        <f>'2025'!A167</f>
        <v>172</v>
      </c>
      <c r="B167" s="43">
        <f>'2025'!E166</f>
        <v>0</v>
      </c>
      <c r="C167" s="43">
        <f>'2025'!F166</f>
        <v>0</v>
      </c>
      <c r="D167" s="43"/>
      <c r="E167" s="43">
        <f>'2025'!G166</f>
        <v>0</v>
      </c>
      <c r="F167" s="75">
        <f>'2025'!I166</f>
        <v>0</v>
      </c>
      <c r="G167" s="75">
        <f>'2025'!B166</f>
        <v>0</v>
      </c>
      <c r="H167" s="43">
        <f>'2025'!M166</f>
        <v>0</v>
      </c>
      <c r="I167" s="43">
        <f>'2025'!N166</f>
        <v>0</v>
      </c>
      <c r="J167" s="43"/>
      <c r="K167" s="43">
        <f>'2025'!AR166</f>
        <v>0</v>
      </c>
    </row>
    <row r="168" spans="1:11" x14ac:dyDescent="0.25">
      <c r="A168" s="43">
        <f>'2025'!A168</f>
        <v>173</v>
      </c>
      <c r="B168" s="43">
        <f>'2025'!E167</f>
        <v>0</v>
      </c>
      <c r="C168" s="43">
        <f>'2025'!F167</f>
        <v>0</v>
      </c>
      <c r="D168" s="43"/>
      <c r="E168" s="43">
        <f>'2025'!G167</f>
        <v>0</v>
      </c>
      <c r="F168" s="75">
        <f>'2025'!I167</f>
        <v>0</v>
      </c>
      <c r="G168" s="75">
        <f>'2025'!B167</f>
        <v>0</v>
      </c>
      <c r="H168" s="43">
        <f>'2025'!M167</f>
        <v>0</v>
      </c>
      <c r="I168" s="43">
        <f>'2025'!N167</f>
        <v>0</v>
      </c>
      <c r="J168" s="43"/>
      <c r="K168" s="43">
        <f>'2025'!AR167</f>
        <v>0</v>
      </c>
    </row>
    <row r="169" spans="1:11" x14ac:dyDescent="0.25">
      <c r="A169" s="43">
        <f>'2025'!A169</f>
        <v>174</v>
      </c>
      <c r="B169" s="43">
        <f>'2025'!E168</f>
        <v>0</v>
      </c>
      <c r="C169" s="43">
        <f>'2025'!F168</f>
        <v>0</v>
      </c>
      <c r="D169" s="43"/>
      <c r="E169" s="43">
        <f>'2025'!G168</f>
        <v>0</v>
      </c>
      <c r="F169" s="75">
        <f>'2025'!I168</f>
        <v>0</v>
      </c>
      <c r="G169" s="75">
        <f>'2025'!B168</f>
        <v>0</v>
      </c>
      <c r="H169" s="43">
        <f>'2025'!M168</f>
        <v>0</v>
      </c>
      <c r="I169" s="43">
        <f>'2025'!N168</f>
        <v>0</v>
      </c>
      <c r="J169" s="43"/>
      <c r="K169" s="43">
        <f>'2025'!AR168</f>
        <v>0</v>
      </c>
    </row>
    <row r="170" spans="1:11" x14ac:dyDescent="0.25">
      <c r="A170" s="43">
        <f>'2025'!A170</f>
        <v>175</v>
      </c>
      <c r="B170" s="43">
        <f>'2025'!E169</f>
        <v>0</v>
      </c>
      <c r="C170" s="43">
        <f>'2025'!F169</f>
        <v>0</v>
      </c>
      <c r="D170" s="43"/>
      <c r="E170" s="43">
        <f>'2025'!G169</f>
        <v>0</v>
      </c>
      <c r="F170" s="75">
        <f>'2025'!I169</f>
        <v>0</v>
      </c>
      <c r="G170" s="75">
        <f>'2025'!B169</f>
        <v>0</v>
      </c>
      <c r="H170" s="43">
        <f>'2025'!M169</f>
        <v>0</v>
      </c>
      <c r="I170" s="43">
        <f>'2025'!N169</f>
        <v>0</v>
      </c>
      <c r="J170" s="43"/>
      <c r="K170" s="43">
        <f>'2025'!AR169</f>
        <v>0</v>
      </c>
    </row>
    <row r="171" spans="1:11" x14ac:dyDescent="0.25">
      <c r="A171" s="43">
        <f>'2025'!A171</f>
        <v>176</v>
      </c>
      <c r="B171" s="43">
        <f>'2025'!E170</f>
        <v>0</v>
      </c>
      <c r="C171" s="43">
        <f>'2025'!F170</f>
        <v>0</v>
      </c>
      <c r="D171" s="43"/>
      <c r="E171" s="43">
        <f>'2025'!G170</f>
        <v>0</v>
      </c>
      <c r="F171" s="75">
        <f>'2025'!I170</f>
        <v>0</v>
      </c>
      <c r="G171" s="75">
        <f>'2025'!B170</f>
        <v>0</v>
      </c>
      <c r="H171" s="43">
        <f>'2025'!M170</f>
        <v>0</v>
      </c>
      <c r="I171" s="43">
        <f>'2025'!N170</f>
        <v>0</v>
      </c>
      <c r="J171" s="43"/>
      <c r="K171" s="43">
        <f>'2025'!AR170</f>
        <v>0</v>
      </c>
    </row>
    <row r="172" spans="1:11" x14ac:dyDescent="0.25">
      <c r="A172" s="43">
        <f>'2025'!A172</f>
        <v>177</v>
      </c>
      <c r="B172" s="43">
        <f>'2025'!E171</f>
        <v>0</v>
      </c>
      <c r="C172" s="43">
        <f>'2025'!F171</f>
        <v>0</v>
      </c>
      <c r="D172" s="43"/>
      <c r="E172" s="43">
        <f>'2025'!G171</f>
        <v>0</v>
      </c>
      <c r="F172" s="75">
        <f>'2025'!I171</f>
        <v>0</v>
      </c>
      <c r="G172" s="75">
        <f>'2025'!B171</f>
        <v>0</v>
      </c>
      <c r="H172" s="43">
        <f>'2025'!M171</f>
        <v>0</v>
      </c>
      <c r="I172" s="43">
        <f>'2025'!N171</f>
        <v>0</v>
      </c>
      <c r="J172" s="43"/>
      <c r="K172" s="43">
        <f>'2025'!AR171</f>
        <v>0</v>
      </c>
    </row>
    <row r="173" spans="1:11" x14ac:dyDescent="0.25">
      <c r="A173" s="43">
        <f>'2025'!A173</f>
        <v>178</v>
      </c>
      <c r="B173" s="43">
        <f>'2025'!E172</f>
        <v>0</v>
      </c>
      <c r="C173" s="43">
        <f>'2025'!F172</f>
        <v>0</v>
      </c>
      <c r="D173" s="43"/>
      <c r="E173" s="43">
        <f>'2025'!G172</f>
        <v>0</v>
      </c>
      <c r="F173" s="75">
        <f>'2025'!I172</f>
        <v>0</v>
      </c>
      <c r="G173" s="75">
        <f>'2025'!B172</f>
        <v>0</v>
      </c>
      <c r="H173" s="43">
        <f>'2025'!M172</f>
        <v>0</v>
      </c>
      <c r="I173" s="43">
        <f>'2025'!N172</f>
        <v>0</v>
      </c>
      <c r="J173" s="43"/>
      <c r="K173" s="43">
        <f>'2025'!AR172</f>
        <v>0</v>
      </c>
    </row>
    <row r="174" spans="1:11" x14ac:dyDescent="0.25">
      <c r="A174" s="43">
        <f>'2025'!A174</f>
        <v>179</v>
      </c>
      <c r="B174" s="43">
        <f>'2025'!E173</f>
        <v>0</v>
      </c>
      <c r="C174" s="43">
        <f>'2025'!F173</f>
        <v>0</v>
      </c>
      <c r="D174" s="43"/>
      <c r="E174" s="43">
        <f>'2025'!G173</f>
        <v>0</v>
      </c>
      <c r="F174" s="75">
        <f>'2025'!I173</f>
        <v>0</v>
      </c>
      <c r="G174" s="75">
        <f>'2025'!B173</f>
        <v>0</v>
      </c>
      <c r="H174" s="43">
        <f>'2025'!M173</f>
        <v>0</v>
      </c>
      <c r="I174" s="43">
        <f>'2025'!N173</f>
        <v>0</v>
      </c>
      <c r="J174" s="43"/>
      <c r="K174" s="43">
        <f>'2025'!AR173</f>
        <v>0</v>
      </c>
    </row>
    <row r="175" spans="1:11" x14ac:dyDescent="0.25">
      <c r="A175" s="43">
        <f>'2025'!A175</f>
        <v>180</v>
      </c>
      <c r="B175" s="43">
        <f>'2025'!E174</f>
        <v>0</v>
      </c>
      <c r="C175" s="43">
        <f>'2025'!F174</f>
        <v>0</v>
      </c>
      <c r="D175" s="43"/>
      <c r="E175" s="43">
        <f>'2025'!G174</f>
        <v>0</v>
      </c>
      <c r="F175" s="75">
        <f>'2025'!I174</f>
        <v>0</v>
      </c>
      <c r="G175" s="75">
        <f>'2025'!B174</f>
        <v>0</v>
      </c>
      <c r="H175" s="43">
        <f>'2025'!M174</f>
        <v>0</v>
      </c>
      <c r="I175" s="43">
        <f>'2025'!N174</f>
        <v>0</v>
      </c>
      <c r="J175" s="43"/>
      <c r="K175" s="43">
        <f>'2025'!AR174</f>
        <v>0</v>
      </c>
    </row>
    <row r="176" spans="1:11" x14ac:dyDescent="0.25">
      <c r="A176" s="43">
        <f>'2025'!A176</f>
        <v>181</v>
      </c>
      <c r="B176" s="43">
        <f>'2025'!E175</f>
        <v>0</v>
      </c>
      <c r="C176" s="43">
        <f>'2025'!F175</f>
        <v>0</v>
      </c>
      <c r="D176" s="43"/>
      <c r="E176" s="43">
        <f>'2025'!G175</f>
        <v>0</v>
      </c>
      <c r="F176" s="75">
        <f>'2025'!I175</f>
        <v>0</v>
      </c>
      <c r="G176" s="75">
        <f>'2025'!B175</f>
        <v>0</v>
      </c>
      <c r="H176" s="43">
        <f>'2025'!M175</f>
        <v>0</v>
      </c>
      <c r="I176" s="43">
        <f>'2025'!N175</f>
        <v>0</v>
      </c>
      <c r="J176" s="43"/>
      <c r="K176" s="43">
        <f>'2025'!AR175</f>
        <v>0</v>
      </c>
    </row>
    <row r="177" spans="1:11" x14ac:dyDescent="0.25">
      <c r="A177" s="43">
        <f>'2025'!A177</f>
        <v>182</v>
      </c>
      <c r="B177" s="43">
        <f>'2025'!E176</f>
        <v>0</v>
      </c>
      <c r="C177" s="43">
        <f>'2025'!F176</f>
        <v>0</v>
      </c>
      <c r="D177" s="43"/>
      <c r="E177" s="43">
        <f>'2025'!G176</f>
        <v>0</v>
      </c>
      <c r="F177" s="75">
        <f>'2025'!I176</f>
        <v>0</v>
      </c>
      <c r="G177" s="75">
        <f>'2025'!B176</f>
        <v>0</v>
      </c>
      <c r="H177" s="43">
        <f>'2025'!M176</f>
        <v>0</v>
      </c>
      <c r="I177" s="43">
        <f>'2025'!N176</f>
        <v>0</v>
      </c>
      <c r="J177" s="43"/>
      <c r="K177" s="43">
        <f>'2025'!AR176</f>
        <v>0</v>
      </c>
    </row>
    <row r="178" spans="1:11" x14ac:dyDescent="0.25">
      <c r="A178" s="43">
        <f>'2025'!A178</f>
        <v>183</v>
      </c>
      <c r="B178" s="43">
        <f>'2025'!E177</f>
        <v>0</v>
      </c>
      <c r="C178" s="43">
        <f>'2025'!F177</f>
        <v>0</v>
      </c>
      <c r="D178" s="43"/>
      <c r="E178" s="43">
        <f>'2025'!G177</f>
        <v>0</v>
      </c>
      <c r="F178" s="75">
        <f>'2025'!I177</f>
        <v>0</v>
      </c>
      <c r="G178" s="75">
        <f>'2025'!B177</f>
        <v>0</v>
      </c>
      <c r="H178" s="43">
        <f>'2025'!M177</f>
        <v>0</v>
      </c>
      <c r="I178" s="43">
        <f>'2025'!N177</f>
        <v>0</v>
      </c>
      <c r="J178" s="43"/>
      <c r="K178" s="43">
        <f>'2025'!AR177</f>
        <v>0</v>
      </c>
    </row>
    <row r="179" spans="1:11" x14ac:dyDescent="0.25">
      <c r="A179" s="43">
        <f>'2025'!A179</f>
        <v>184</v>
      </c>
      <c r="B179" s="43">
        <f>'2025'!E178</f>
        <v>0</v>
      </c>
      <c r="C179" s="43">
        <f>'2025'!F178</f>
        <v>0</v>
      </c>
      <c r="D179" s="43"/>
      <c r="E179" s="43">
        <f>'2025'!G178</f>
        <v>0</v>
      </c>
      <c r="F179" s="75">
        <f>'2025'!I178</f>
        <v>0</v>
      </c>
      <c r="G179" s="75">
        <f>'2025'!B178</f>
        <v>0</v>
      </c>
      <c r="H179" s="43">
        <f>'2025'!M178</f>
        <v>0</v>
      </c>
      <c r="I179" s="43">
        <f>'2025'!N178</f>
        <v>0</v>
      </c>
      <c r="J179" s="43"/>
      <c r="K179" s="43">
        <f>'2025'!AR178</f>
        <v>0</v>
      </c>
    </row>
    <row r="180" spans="1:11" x14ac:dyDescent="0.25">
      <c r="A180" s="43">
        <f>'2025'!A180</f>
        <v>185</v>
      </c>
      <c r="B180" s="43">
        <f>'2025'!E179</f>
        <v>0</v>
      </c>
      <c r="C180" s="43">
        <f>'2025'!F179</f>
        <v>0</v>
      </c>
      <c r="D180" s="43"/>
      <c r="E180" s="43">
        <f>'2025'!G179</f>
        <v>0</v>
      </c>
      <c r="F180" s="75">
        <f>'2025'!I179</f>
        <v>0</v>
      </c>
      <c r="G180" s="75">
        <f>'2025'!B179</f>
        <v>0</v>
      </c>
      <c r="H180" s="43">
        <f>'2025'!M179</f>
        <v>0</v>
      </c>
      <c r="I180" s="43">
        <f>'2025'!N179</f>
        <v>0</v>
      </c>
      <c r="J180" s="43"/>
      <c r="K180" s="43">
        <f>'2025'!AR179</f>
        <v>0</v>
      </c>
    </row>
    <row r="181" spans="1:11" x14ac:dyDescent="0.25">
      <c r="A181" s="43">
        <f>'2025'!A181</f>
        <v>186</v>
      </c>
      <c r="B181" s="43">
        <f>'2025'!E180</f>
        <v>0</v>
      </c>
      <c r="C181" s="43">
        <f>'2025'!F180</f>
        <v>0</v>
      </c>
      <c r="D181" s="43"/>
      <c r="E181" s="43">
        <f>'2025'!G180</f>
        <v>0</v>
      </c>
      <c r="F181" s="75">
        <f>'2025'!I180</f>
        <v>0</v>
      </c>
      <c r="G181" s="75">
        <f>'2025'!B180</f>
        <v>0</v>
      </c>
      <c r="H181" s="43">
        <f>'2025'!M180</f>
        <v>0</v>
      </c>
      <c r="I181" s="43">
        <f>'2025'!N180</f>
        <v>0</v>
      </c>
      <c r="J181" s="43"/>
      <c r="K181" s="43">
        <f>'2025'!AR180</f>
        <v>0</v>
      </c>
    </row>
    <row r="182" spans="1:11" x14ac:dyDescent="0.25">
      <c r="A182" s="43">
        <f>'2025'!A182</f>
        <v>187</v>
      </c>
      <c r="B182" s="43">
        <f>'2025'!E181</f>
        <v>0</v>
      </c>
      <c r="C182" s="43">
        <f>'2025'!F181</f>
        <v>0</v>
      </c>
      <c r="D182" s="43"/>
      <c r="E182" s="43">
        <f>'2025'!G181</f>
        <v>0</v>
      </c>
      <c r="F182" s="75">
        <f>'2025'!I181</f>
        <v>0</v>
      </c>
      <c r="G182" s="75">
        <f>'2025'!B181</f>
        <v>0</v>
      </c>
      <c r="H182" s="43">
        <f>'2025'!M181</f>
        <v>0</v>
      </c>
      <c r="I182" s="43">
        <f>'2025'!N181</f>
        <v>0</v>
      </c>
      <c r="J182" s="43"/>
      <c r="K182" s="43">
        <f>'2025'!AR181</f>
        <v>0</v>
      </c>
    </row>
    <row r="183" spans="1:11" x14ac:dyDescent="0.25">
      <c r="A183" s="43">
        <f>'2025'!A183</f>
        <v>188</v>
      </c>
      <c r="B183" s="43">
        <f>'2025'!E182</f>
        <v>0</v>
      </c>
      <c r="C183" s="43">
        <f>'2025'!F182</f>
        <v>0</v>
      </c>
      <c r="D183" s="43"/>
      <c r="E183" s="43">
        <f>'2025'!G182</f>
        <v>0</v>
      </c>
      <c r="F183" s="75">
        <f>'2025'!I182</f>
        <v>0</v>
      </c>
      <c r="G183" s="75">
        <f>'2025'!B182</f>
        <v>0</v>
      </c>
      <c r="H183" s="43">
        <f>'2025'!M182</f>
        <v>0</v>
      </c>
      <c r="I183" s="43">
        <f>'2025'!N182</f>
        <v>0</v>
      </c>
      <c r="J183" s="43"/>
      <c r="K183" s="43">
        <f>'2025'!AR182</f>
        <v>0</v>
      </c>
    </row>
    <row r="184" spans="1:11" x14ac:dyDescent="0.25">
      <c r="A184" s="43">
        <f>'2025'!A184</f>
        <v>189</v>
      </c>
      <c r="B184" s="43">
        <f>'2025'!E183</f>
        <v>0</v>
      </c>
      <c r="C184" s="43">
        <f>'2025'!F183</f>
        <v>0</v>
      </c>
      <c r="D184" s="43"/>
      <c r="E184" s="43">
        <f>'2025'!G183</f>
        <v>0</v>
      </c>
      <c r="F184" s="75">
        <f>'2025'!I183</f>
        <v>0</v>
      </c>
      <c r="G184" s="75">
        <f>'2025'!B183</f>
        <v>0</v>
      </c>
      <c r="H184" s="43">
        <f>'2025'!M183</f>
        <v>0</v>
      </c>
      <c r="I184" s="43">
        <f>'2025'!N183</f>
        <v>0</v>
      </c>
      <c r="J184" s="43"/>
      <c r="K184" s="43">
        <f>'2025'!AR183</f>
        <v>0</v>
      </c>
    </row>
    <row r="185" spans="1:11" x14ac:dyDescent="0.25">
      <c r="A185" s="43">
        <f>'2025'!A185</f>
        <v>190</v>
      </c>
      <c r="B185" s="43">
        <f>'2025'!E184</f>
        <v>0</v>
      </c>
      <c r="C185" s="43">
        <f>'2025'!F184</f>
        <v>0</v>
      </c>
      <c r="D185" s="43"/>
      <c r="E185" s="43">
        <f>'2025'!G184</f>
        <v>0</v>
      </c>
      <c r="F185" s="75">
        <f>'2025'!I184</f>
        <v>0</v>
      </c>
      <c r="G185" s="75">
        <f>'2025'!B184</f>
        <v>0</v>
      </c>
      <c r="H185" s="43">
        <f>'2025'!M184</f>
        <v>0</v>
      </c>
      <c r="I185" s="43">
        <f>'2025'!N184</f>
        <v>0</v>
      </c>
      <c r="J185" s="43"/>
      <c r="K185" s="43">
        <f>'2025'!AR184</f>
        <v>0</v>
      </c>
    </row>
    <row r="186" spans="1:11" x14ac:dyDescent="0.25">
      <c r="A186" s="43">
        <f>'2025'!A186</f>
        <v>191</v>
      </c>
      <c r="B186" s="43">
        <f>'2025'!E185</f>
        <v>0</v>
      </c>
      <c r="C186" s="43">
        <f>'2025'!F185</f>
        <v>0</v>
      </c>
      <c r="D186" s="43"/>
      <c r="E186" s="43">
        <f>'2025'!G185</f>
        <v>0</v>
      </c>
      <c r="F186" s="75">
        <f>'2025'!I185</f>
        <v>0</v>
      </c>
      <c r="G186" s="75">
        <f>'2025'!B185</f>
        <v>0</v>
      </c>
      <c r="H186" s="43">
        <f>'2025'!M185</f>
        <v>0</v>
      </c>
      <c r="I186" s="43">
        <f>'2025'!N185</f>
        <v>0</v>
      </c>
      <c r="J186" s="43"/>
      <c r="K186" s="43">
        <f>'2025'!AR185</f>
        <v>0</v>
      </c>
    </row>
    <row r="187" spans="1:11" x14ac:dyDescent="0.25">
      <c r="A187" s="43">
        <f>'2025'!A187</f>
        <v>192</v>
      </c>
      <c r="B187" s="43">
        <f>'2025'!E186</f>
        <v>0</v>
      </c>
      <c r="C187" s="43">
        <f>'2025'!F186</f>
        <v>0</v>
      </c>
      <c r="D187" s="43"/>
      <c r="E187" s="43">
        <f>'2025'!G186</f>
        <v>0</v>
      </c>
      <c r="F187" s="75">
        <f>'2025'!I186</f>
        <v>0</v>
      </c>
      <c r="G187" s="75">
        <f>'2025'!B186</f>
        <v>0</v>
      </c>
      <c r="H187" s="43">
        <f>'2025'!M186</f>
        <v>0</v>
      </c>
      <c r="I187" s="43">
        <f>'2025'!N186</f>
        <v>0</v>
      </c>
      <c r="J187" s="43"/>
      <c r="K187" s="43">
        <f>'2025'!AR186</f>
        <v>0</v>
      </c>
    </row>
    <row r="188" spans="1:11" x14ac:dyDescent="0.25">
      <c r="A188" s="43">
        <f>'2025'!A188</f>
        <v>193</v>
      </c>
      <c r="B188" s="43">
        <f>'2025'!E187</f>
        <v>0</v>
      </c>
      <c r="C188" s="43">
        <f>'2025'!F187</f>
        <v>0</v>
      </c>
      <c r="D188" s="43"/>
      <c r="E188" s="43">
        <f>'2025'!G187</f>
        <v>0</v>
      </c>
      <c r="F188" s="75">
        <f>'2025'!I187</f>
        <v>0</v>
      </c>
      <c r="G188" s="75">
        <f>'2025'!B187</f>
        <v>0</v>
      </c>
      <c r="H188" s="43">
        <f>'2025'!M187</f>
        <v>0</v>
      </c>
      <c r="I188" s="43">
        <f>'2025'!N187</f>
        <v>0</v>
      </c>
      <c r="J188" s="43"/>
      <c r="K188" s="43">
        <f>'2025'!AR187</f>
        <v>0</v>
      </c>
    </row>
    <row r="189" spans="1:11" x14ac:dyDescent="0.25">
      <c r="A189" s="43">
        <f>'2025'!A189</f>
        <v>194</v>
      </c>
      <c r="B189" s="43">
        <f>'2025'!E188</f>
        <v>0</v>
      </c>
      <c r="C189" s="43">
        <f>'2025'!F188</f>
        <v>0</v>
      </c>
      <c r="D189" s="43"/>
      <c r="E189" s="43">
        <f>'2025'!G188</f>
        <v>0</v>
      </c>
      <c r="F189" s="75">
        <f>'2025'!I188</f>
        <v>0</v>
      </c>
      <c r="G189" s="75">
        <f>'2025'!B188</f>
        <v>0</v>
      </c>
      <c r="H189" s="43">
        <f>'2025'!M188</f>
        <v>0</v>
      </c>
      <c r="I189" s="43">
        <f>'2025'!N188</f>
        <v>0</v>
      </c>
      <c r="J189" s="43"/>
      <c r="K189" s="43">
        <f>'2025'!AR188</f>
        <v>0</v>
      </c>
    </row>
    <row r="190" spans="1:11" x14ac:dyDescent="0.25">
      <c r="A190" s="43">
        <f>'2025'!A190</f>
        <v>195</v>
      </c>
      <c r="B190" s="43">
        <f>'2025'!E189</f>
        <v>0</v>
      </c>
      <c r="C190" s="43">
        <f>'2025'!F189</f>
        <v>0</v>
      </c>
      <c r="D190" s="43"/>
      <c r="E190" s="43">
        <f>'2025'!G189</f>
        <v>0</v>
      </c>
      <c r="F190" s="75">
        <f>'2025'!I189</f>
        <v>0</v>
      </c>
      <c r="G190" s="75">
        <f>'2025'!B189</f>
        <v>0</v>
      </c>
      <c r="H190" s="43">
        <f>'2025'!M189</f>
        <v>0</v>
      </c>
      <c r="I190" s="43">
        <f>'2025'!N189</f>
        <v>0</v>
      </c>
      <c r="J190" s="43"/>
      <c r="K190" s="43">
        <f>'2025'!AR189</f>
        <v>0</v>
      </c>
    </row>
    <row r="191" spans="1:11" x14ac:dyDescent="0.25">
      <c r="A191" s="43">
        <f>'2025'!A191</f>
        <v>196</v>
      </c>
      <c r="B191" s="43">
        <f>'2025'!E190</f>
        <v>0</v>
      </c>
      <c r="C191" s="43">
        <f>'2025'!F190</f>
        <v>0</v>
      </c>
      <c r="D191" s="43"/>
      <c r="E191" s="43">
        <f>'2025'!G190</f>
        <v>0</v>
      </c>
      <c r="F191" s="75">
        <f>'2025'!I190</f>
        <v>0</v>
      </c>
      <c r="G191" s="75">
        <f>'2025'!B190</f>
        <v>0</v>
      </c>
      <c r="H191" s="43">
        <f>'2025'!M190</f>
        <v>0</v>
      </c>
      <c r="I191" s="43">
        <f>'2025'!N190</f>
        <v>0</v>
      </c>
      <c r="J191" s="43"/>
      <c r="K191" s="43">
        <f>'2025'!AR190</f>
        <v>0</v>
      </c>
    </row>
    <row r="192" spans="1:11" x14ac:dyDescent="0.25">
      <c r="A192" s="43">
        <f>'2025'!A192</f>
        <v>197</v>
      </c>
      <c r="B192" s="43">
        <f>'2025'!E191</f>
        <v>0</v>
      </c>
      <c r="C192" s="43">
        <f>'2025'!F191</f>
        <v>0</v>
      </c>
      <c r="D192" s="43"/>
      <c r="E192" s="43">
        <f>'2025'!G191</f>
        <v>0</v>
      </c>
      <c r="F192" s="75">
        <f>'2025'!I191</f>
        <v>0</v>
      </c>
      <c r="G192" s="75">
        <f>'2025'!B191</f>
        <v>0</v>
      </c>
      <c r="H192" s="43">
        <f>'2025'!M191</f>
        <v>0</v>
      </c>
      <c r="I192" s="43">
        <f>'2025'!N191</f>
        <v>0</v>
      </c>
      <c r="J192" s="43"/>
      <c r="K192" s="43">
        <f>'2025'!AR191</f>
        <v>0</v>
      </c>
    </row>
    <row r="193" spans="1:11" x14ac:dyDescent="0.25">
      <c r="A193" s="43">
        <f>'2025'!A193</f>
        <v>198</v>
      </c>
      <c r="B193" s="43">
        <f>'2025'!E192</f>
        <v>0</v>
      </c>
      <c r="C193" s="43">
        <f>'2025'!F192</f>
        <v>0</v>
      </c>
      <c r="D193" s="43"/>
      <c r="E193" s="43">
        <f>'2025'!G192</f>
        <v>0</v>
      </c>
      <c r="F193" s="75">
        <f>'2025'!I192</f>
        <v>0</v>
      </c>
      <c r="G193" s="75">
        <f>'2025'!B192</f>
        <v>0</v>
      </c>
      <c r="H193" s="43">
        <f>'2025'!M192</f>
        <v>0</v>
      </c>
      <c r="I193" s="43">
        <f>'2025'!N192</f>
        <v>0</v>
      </c>
      <c r="J193" s="43"/>
      <c r="K193" s="43">
        <f>'2025'!AR192</f>
        <v>0</v>
      </c>
    </row>
    <row r="194" spans="1:11" x14ac:dyDescent="0.25">
      <c r="A194" s="43">
        <f>'2025'!A194</f>
        <v>199</v>
      </c>
      <c r="B194" s="43">
        <f>'2025'!E193</f>
        <v>0</v>
      </c>
      <c r="C194" s="43">
        <f>'2025'!F193</f>
        <v>0</v>
      </c>
      <c r="D194" s="43"/>
      <c r="E194" s="43">
        <f>'2025'!G193</f>
        <v>0</v>
      </c>
      <c r="F194" s="75">
        <f>'2025'!I193</f>
        <v>0</v>
      </c>
      <c r="G194" s="75">
        <f>'2025'!B193</f>
        <v>0</v>
      </c>
      <c r="H194" s="43">
        <f>'2025'!M193</f>
        <v>0</v>
      </c>
      <c r="I194" s="43">
        <f>'2025'!N193</f>
        <v>0</v>
      </c>
      <c r="J194" s="43"/>
      <c r="K194" s="43">
        <f>'2025'!AR193</f>
        <v>0</v>
      </c>
    </row>
    <row r="195" spans="1:11" x14ac:dyDescent="0.25">
      <c r="A195" s="43">
        <f>'2025'!A195</f>
        <v>200</v>
      </c>
      <c r="B195" s="43">
        <f>'2025'!E194</f>
        <v>0</v>
      </c>
      <c r="C195" s="43">
        <f>'2025'!F194</f>
        <v>0</v>
      </c>
      <c r="D195" s="43"/>
      <c r="E195" s="43">
        <f>'2025'!G194</f>
        <v>0</v>
      </c>
      <c r="F195" s="75">
        <f>'2025'!I194</f>
        <v>0</v>
      </c>
      <c r="G195" s="75">
        <f>'2025'!B194</f>
        <v>0</v>
      </c>
      <c r="H195" s="43">
        <f>'2025'!M194</f>
        <v>0</v>
      </c>
      <c r="I195" s="43">
        <f>'2025'!N194</f>
        <v>0</v>
      </c>
      <c r="J195" s="43"/>
      <c r="K195" s="43">
        <f>'2025'!AR194</f>
        <v>0</v>
      </c>
    </row>
    <row r="196" spans="1:11" x14ac:dyDescent="0.25">
      <c r="A196" s="43">
        <f>'2025'!A196</f>
        <v>201</v>
      </c>
      <c r="B196" s="43">
        <f>'2025'!E195</f>
        <v>0</v>
      </c>
      <c r="C196" s="43">
        <f>'2025'!F195</f>
        <v>0</v>
      </c>
      <c r="D196" s="43"/>
      <c r="E196" s="43">
        <f>'2025'!G195</f>
        <v>0</v>
      </c>
      <c r="F196" s="75">
        <f>'2025'!I195</f>
        <v>0</v>
      </c>
      <c r="G196" s="75">
        <f>'2025'!B195</f>
        <v>0</v>
      </c>
      <c r="H196" s="43">
        <f>'2025'!M195</f>
        <v>0</v>
      </c>
      <c r="I196" s="43">
        <f>'2025'!N195</f>
        <v>0</v>
      </c>
      <c r="J196" s="43"/>
      <c r="K196" s="43">
        <f>'2025'!AR195</f>
        <v>0</v>
      </c>
    </row>
    <row r="197" spans="1:11" x14ac:dyDescent="0.25">
      <c r="A197" s="43">
        <f>'2025'!A197</f>
        <v>202</v>
      </c>
      <c r="B197" s="43">
        <f>'2025'!E196</f>
        <v>0</v>
      </c>
      <c r="C197" s="43">
        <f>'2025'!F196</f>
        <v>0</v>
      </c>
      <c r="D197" s="43"/>
      <c r="E197" s="43">
        <f>'2025'!G196</f>
        <v>0</v>
      </c>
      <c r="F197" s="75">
        <f>'2025'!I196</f>
        <v>0</v>
      </c>
      <c r="G197" s="75">
        <f>'2025'!B196</f>
        <v>0</v>
      </c>
      <c r="H197" s="43">
        <f>'2025'!M196</f>
        <v>0</v>
      </c>
      <c r="I197" s="43">
        <f>'2025'!N196</f>
        <v>0</v>
      </c>
      <c r="J197" s="43"/>
      <c r="K197" s="43">
        <f>'2025'!AR196</f>
        <v>0</v>
      </c>
    </row>
    <row r="198" spans="1:11" x14ac:dyDescent="0.25">
      <c r="A198" s="43">
        <f>'2025'!A198</f>
        <v>203</v>
      </c>
      <c r="B198" s="43">
        <f>'2025'!E197</f>
        <v>0</v>
      </c>
      <c r="C198" s="43">
        <f>'2025'!F197</f>
        <v>0</v>
      </c>
      <c r="D198" s="43"/>
      <c r="E198" s="43">
        <f>'2025'!G197</f>
        <v>0</v>
      </c>
      <c r="F198" s="75">
        <f>'2025'!I197</f>
        <v>0</v>
      </c>
      <c r="G198" s="75">
        <f>'2025'!B197</f>
        <v>0</v>
      </c>
      <c r="H198" s="43">
        <f>'2025'!M197</f>
        <v>0</v>
      </c>
      <c r="I198" s="43">
        <f>'2025'!N197</f>
        <v>0</v>
      </c>
      <c r="J198" s="43"/>
      <c r="K198" s="43">
        <f>'2025'!AR197</f>
        <v>0</v>
      </c>
    </row>
    <row r="199" spans="1:11" x14ac:dyDescent="0.25">
      <c r="A199" s="43">
        <f>'2025'!A199</f>
        <v>204</v>
      </c>
      <c r="B199" s="43">
        <f>'2025'!E198</f>
        <v>0</v>
      </c>
      <c r="C199" s="43">
        <f>'2025'!F198</f>
        <v>0</v>
      </c>
      <c r="D199" s="43"/>
      <c r="E199" s="43">
        <f>'2025'!G198</f>
        <v>0</v>
      </c>
      <c r="F199" s="75">
        <f>'2025'!I198</f>
        <v>0</v>
      </c>
      <c r="G199" s="75">
        <f>'2025'!B198</f>
        <v>0</v>
      </c>
      <c r="H199" s="43">
        <f>'2025'!M198</f>
        <v>0</v>
      </c>
      <c r="I199" s="43">
        <f>'2025'!N198</f>
        <v>0</v>
      </c>
      <c r="J199" s="43"/>
      <c r="K199" s="43">
        <f>'2025'!AR198</f>
        <v>0</v>
      </c>
    </row>
    <row r="200" spans="1:11" x14ac:dyDescent="0.25">
      <c r="A200" s="43">
        <f>'2025'!A200</f>
        <v>205</v>
      </c>
      <c r="B200" s="43">
        <f>'2025'!E199</f>
        <v>0</v>
      </c>
      <c r="C200" s="43">
        <f>'2025'!F199</f>
        <v>0</v>
      </c>
      <c r="D200" s="43"/>
      <c r="E200" s="43">
        <f>'2025'!G199</f>
        <v>0</v>
      </c>
      <c r="F200" s="75">
        <f>'2025'!I199</f>
        <v>0</v>
      </c>
      <c r="G200" s="75">
        <f>'2025'!B199</f>
        <v>0</v>
      </c>
      <c r="H200" s="43">
        <f>'2025'!M199</f>
        <v>0</v>
      </c>
      <c r="I200" s="43">
        <f>'2025'!N199</f>
        <v>0</v>
      </c>
      <c r="J200" s="43"/>
      <c r="K200" s="43">
        <f>'2025'!AR199</f>
        <v>0</v>
      </c>
    </row>
    <row r="201" spans="1:11" x14ac:dyDescent="0.25">
      <c r="A201" s="43">
        <f>'2025'!A201</f>
        <v>206</v>
      </c>
      <c r="B201" s="43">
        <f>'2025'!E200</f>
        <v>0</v>
      </c>
      <c r="C201" s="43">
        <f>'2025'!F200</f>
        <v>0</v>
      </c>
      <c r="D201" s="43"/>
      <c r="E201" s="43">
        <f>'2025'!G200</f>
        <v>0</v>
      </c>
      <c r="F201" s="75">
        <f>'2025'!I200</f>
        <v>0</v>
      </c>
      <c r="G201" s="75">
        <f>'2025'!B200</f>
        <v>0</v>
      </c>
      <c r="H201" s="43">
        <f>'2025'!M200</f>
        <v>0</v>
      </c>
      <c r="I201" s="43">
        <f>'2025'!N200</f>
        <v>0</v>
      </c>
      <c r="J201" s="43"/>
      <c r="K201" s="43">
        <f>'2025'!AR200</f>
        <v>0</v>
      </c>
    </row>
    <row r="202" spans="1:11" x14ac:dyDescent="0.25">
      <c r="A202" s="43">
        <f>'2025'!A202</f>
        <v>206</v>
      </c>
      <c r="B202" s="43">
        <f>'2025'!E201</f>
        <v>0</v>
      </c>
      <c r="C202" s="43">
        <f>'2025'!F201</f>
        <v>0</v>
      </c>
      <c r="D202" s="43"/>
      <c r="E202" s="43">
        <f>'2025'!G201</f>
        <v>0</v>
      </c>
      <c r="F202" s="75">
        <f>'2025'!I201</f>
        <v>0</v>
      </c>
      <c r="G202" s="75">
        <f>'2025'!B201</f>
        <v>0</v>
      </c>
      <c r="H202" s="43">
        <f>'2025'!M201</f>
        <v>0</v>
      </c>
      <c r="I202" s="43">
        <f>'2025'!N201</f>
        <v>0</v>
      </c>
      <c r="J202" s="43"/>
      <c r="K202" s="43">
        <f>'2025'!AR201</f>
        <v>0</v>
      </c>
    </row>
    <row r="203" spans="1:11" x14ac:dyDescent="0.25">
      <c r="A203" s="43">
        <f>'2025'!A203</f>
        <v>207</v>
      </c>
      <c r="B203" s="43">
        <f>'2025'!E202</f>
        <v>0</v>
      </c>
      <c r="C203" s="43">
        <f>'2025'!F202</f>
        <v>0</v>
      </c>
      <c r="D203" s="43"/>
      <c r="E203" s="43">
        <f>'2025'!G202</f>
        <v>0</v>
      </c>
      <c r="F203" s="75">
        <f>'2025'!I202</f>
        <v>0</v>
      </c>
      <c r="G203" s="75">
        <f>'2025'!B202</f>
        <v>0</v>
      </c>
      <c r="H203" s="43">
        <f>'2025'!M202</f>
        <v>0</v>
      </c>
      <c r="I203" s="43">
        <f>'2025'!N202</f>
        <v>0</v>
      </c>
      <c r="J203" s="43"/>
      <c r="K203" s="43">
        <f>'2025'!AR202</f>
        <v>0</v>
      </c>
    </row>
    <row r="204" spans="1:11" x14ac:dyDescent="0.25">
      <c r="A204" s="43">
        <f>'2025'!A204</f>
        <v>0</v>
      </c>
      <c r="B204" s="43">
        <f>'2025'!E203</f>
        <v>0</v>
      </c>
      <c r="C204" s="43">
        <f>'2025'!F203</f>
        <v>0</v>
      </c>
      <c r="D204" s="43"/>
      <c r="E204" s="43">
        <f>'2025'!G203</f>
        <v>0</v>
      </c>
      <c r="F204" s="75">
        <f>'2025'!I203</f>
        <v>0</v>
      </c>
      <c r="G204" s="75">
        <f>'2025'!B203</f>
        <v>0</v>
      </c>
      <c r="H204" s="43">
        <f>'2025'!M203</f>
        <v>0</v>
      </c>
      <c r="I204" s="43">
        <f>'2025'!N203</f>
        <v>0</v>
      </c>
      <c r="J204" s="43"/>
      <c r="K204" s="43">
        <f>'2025'!AR203</f>
        <v>0</v>
      </c>
    </row>
    <row r="205" spans="1:11" x14ac:dyDescent="0.25">
      <c r="A205" s="43">
        <f>'2025'!A205</f>
        <v>0</v>
      </c>
      <c r="B205" s="43">
        <f>'2025'!E204</f>
        <v>0</v>
      </c>
      <c r="C205" s="43">
        <f>'2025'!F204</f>
        <v>0</v>
      </c>
      <c r="D205" s="43"/>
      <c r="E205" s="43">
        <f>'2025'!G204</f>
        <v>0</v>
      </c>
      <c r="F205" s="75">
        <f>'2025'!I204</f>
        <v>0</v>
      </c>
      <c r="G205" s="75">
        <f>'2025'!B204</f>
        <v>0</v>
      </c>
      <c r="H205" s="43">
        <f>'2025'!M204</f>
        <v>0</v>
      </c>
      <c r="I205" s="43">
        <f>'2025'!N204</f>
        <v>0</v>
      </c>
      <c r="J205" s="43"/>
      <c r="K205" s="43">
        <f>'2025'!AR204</f>
        <v>0</v>
      </c>
    </row>
    <row r="206" spans="1:11" x14ac:dyDescent="0.25">
      <c r="A206" s="43">
        <f>'2025'!A206</f>
        <v>0</v>
      </c>
      <c r="B206" s="43">
        <f>'2025'!E205</f>
        <v>0</v>
      </c>
      <c r="C206" s="43">
        <f>'2025'!F205</f>
        <v>0</v>
      </c>
      <c r="D206" s="43"/>
      <c r="E206" s="43">
        <f>'2025'!G205</f>
        <v>0</v>
      </c>
      <c r="F206" s="75">
        <f>'2025'!I205</f>
        <v>0</v>
      </c>
      <c r="G206" s="75">
        <f>'2025'!B205</f>
        <v>0</v>
      </c>
      <c r="H206" s="43">
        <f>'2025'!M205</f>
        <v>0</v>
      </c>
      <c r="I206" s="43">
        <f>'2025'!N205</f>
        <v>0</v>
      </c>
      <c r="J206" s="43"/>
      <c r="K206" s="43">
        <f>'2025'!AR205</f>
        <v>0</v>
      </c>
    </row>
    <row r="207" spans="1:11" x14ac:dyDescent="0.25">
      <c r="A207" s="43">
        <f>'2025'!A207</f>
        <v>0</v>
      </c>
      <c r="B207" s="43">
        <f>'2025'!E206</f>
        <v>0</v>
      </c>
      <c r="C207" s="43">
        <f>'2025'!F206</f>
        <v>0</v>
      </c>
      <c r="D207" s="43"/>
      <c r="E207" s="43">
        <f>'2025'!G206</f>
        <v>0</v>
      </c>
      <c r="F207" s="75">
        <f>'2025'!I206</f>
        <v>0</v>
      </c>
      <c r="G207" s="75">
        <f>'2025'!B206</f>
        <v>0</v>
      </c>
      <c r="H207" s="43">
        <f>'2025'!M206</f>
        <v>0</v>
      </c>
      <c r="I207" s="43">
        <f>'2025'!N206</f>
        <v>0</v>
      </c>
      <c r="J207" s="43"/>
      <c r="K207" s="43">
        <f>'2025'!AR206</f>
        <v>0</v>
      </c>
    </row>
    <row r="208" spans="1:11" x14ac:dyDescent="0.25">
      <c r="A208" s="43">
        <f>'2025'!A208</f>
        <v>0</v>
      </c>
      <c r="B208" s="43">
        <f>'2025'!E207</f>
        <v>0</v>
      </c>
      <c r="C208" s="43">
        <f>'2025'!F207</f>
        <v>0</v>
      </c>
      <c r="D208" s="43"/>
      <c r="E208" s="43">
        <f>'2025'!G207</f>
        <v>0</v>
      </c>
      <c r="F208" s="75">
        <f>'2025'!I207</f>
        <v>0</v>
      </c>
      <c r="G208" s="75">
        <f>'2025'!B207</f>
        <v>0</v>
      </c>
      <c r="H208" s="43">
        <f>'2025'!M207</f>
        <v>0</v>
      </c>
      <c r="I208" s="43">
        <f>'2025'!N207</f>
        <v>0</v>
      </c>
      <c r="J208" s="43"/>
      <c r="K208" s="43">
        <f>'2025'!AR207</f>
        <v>0</v>
      </c>
    </row>
    <row r="209" spans="1:11" x14ac:dyDescent="0.25">
      <c r="A209" s="43">
        <f>'2025'!A209</f>
        <v>0</v>
      </c>
      <c r="B209" s="43">
        <f>'2025'!E208</f>
        <v>0</v>
      </c>
      <c r="C209" s="43">
        <f>'2025'!F208</f>
        <v>0</v>
      </c>
      <c r="D209" s="43"/>
      <c r="E209" s="43">
        <f>'2025'!G208</f>
        <v>0</v>
      </c>
      <c r="F209" s="75">
        <f>'2025'!I208</f>
        <v>0</v>
      </c>
      <c r="G209" s="75">
        <f>'2025'!B208</f>
        <v>0</v>
      </c>
      <c r="H209" s="43">
        <f>'2025'!M208</f>
        <v>0</v>
      </c>
      <c r="I209" s="43">
        <f>'2025'!N208</f>
        <v>0</v>
      </c>
      <c r="J209" s="43"/>
      <c r="K209" s="43">
        <f>'2025'!AR208</f>
        <v>0</v>
      </c>
    </row>
    <row r="210" spans="1:11" x14ac:dyDescent="0.25">
      <c r="A210" s="43">
        <f>'2025'!A210</f>
        <v>0</v>
      </c>
      <c r="B210" s="43">
        <f>'2025'!E209</f>
        <v>0</v>
      </c>
      <c r="C210" s="43">
        <f>'2025'!F209</f>
        <v>0</v>
      </c>
      <c r="D210" s="43"/>
      <c r="E210" s="43">
        <f>'2025'!G209</f>
        <v>0</v>
      </c>
      <c r="F210" s="75">
        <f>'2025'!I209</f>
        <v>0</v>
      </c>
      <c r="G210" s="75">
        <f>'2025'!B209</f>
        <v>0</v>
      </c>
      <c r="H210" s="43">
        <f>'2025'!M209</f>
        <v>0</v>
      </c>
      <c r="I210" s="43">
        <f>'2025'!N209</f>
        <v>0</v>
      </c>
      <c r="J210" s="43"/>
      <c r="K210" s="43">
        <f>'2025'!AR209</f>
        <v>0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Z37"/>
  <sheetViews>
    <sheetView workbookViewId="0">
      <selection activeCell="C9" sqref="C9:M9"/>
    </sheetView>
  </sheetViews>
  <sheetFormatPr baseColWidth="10" defaultRowHeight="15" x14ac:dyDescent="0.25"/>
  <cols>
    <col min="1" max="1" width="33.42578125" customWidth="1"/>
    <col min="2" max="2" width="14.140625" customWidth="1"/>
    <col min="8" max="8" width="11" customWidth="1"/>
  </cols>
  <sheetData>
    <row r="1" spans="1:130" s="10" customFormat="1" ht="21" customHeight="1" x14ac:dyDescent="0.2">
      <c r="A1" s="212" t="s">
        <v>59</v>
      </c>
      <c r="B1" s="213"/>
      <c r="C1" s="213"/>
      <c r="D1" s="213"/>
      <c r="E1" s="213"/>
      <c r="F1" s="213"/>
      <c r="G1" s="213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5"/>
      <c r="CA1" s="16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</row>
    <row r="2" spans="1:130" s="10" customFormat="1" ht="18" customHeight="1" x14ac:dyDescent="0.2">
      <c r="A2" s="214" t="s">
        <v>60</v>
      </c>
      <c r="B2" s="215"/>
      <c r="C2" s="215"/>
      <c r="D2" s="215"/>
      <c r="E2" s="215"/>
      <c r="F2" s="215"/>
      <c r="G2" s="215"/>
      <c r="M2" s="11"/>
      <c r="N2" s="11"/>
      <c r="O2" s="11"/>
      <c r="P2" s="11"/>
      <c r="Q2" s="11"/>
      <c r="R2" s="11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5"/>
      <c r="CA2" s="16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</row>
    <row r="3" spans="1:130" s="10" customFormat="1" ht="22.35" customHeight="1" x14ac:dyDescent="0.2">
      <c r="A3" s="216" t="s">
        <v>44</v>
      </c>
      <c r="B3" s="217"/>
      <c r="C3" s="220" t="s">
        <v>61</v>
      </c>
      <c r="D3" s="193" t="s">
        <v>62</v>
      </c>
      <c r="E3" s="207"/>
      <c r="F3" s="207"/>
      <c r="G3" s="207"/>
      <c r="H3" s="207"/>
      <c r="I3" s="207"/>
      <c r="J3" s="207"/>
      <c r="K3" s="222"/>
      <c r="L3" s="217" t="s">
        <v>63</v>
      </c>
      <c r="M3" s="211" t="s">
        <v>90</v>
      </c>
      <c r="N3" s="14"/>
      <c r="O3" s="26"/>
      <c r="P3" s="11"/>
      <c r="Q3" s="11"/>
      <c r="R3" s="11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5"/>
      <c r="CA3" s="16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</row>
    <row r="4" spans="1:130" s="10" customFormat="1" ht="26.45" customHeight="1" x14ac:dyDescent="0.2">
      <c r="A4" s="218"/>
      <c r="B4" s="219"/>
      <c r="C4" s="221"/>
      <c r="D4" s="27" t="s">
        <v>64</v>
      </c>
      <c r="E4" s="27" t="s">
        <v>65</v>
      </c>
      <c r="F4" s="28" t="s">
        <v>66</v>
      </c>
      <c r="G4" s="28" t="s">
        <v>67</v>
      </c>
      <c r="H4" s="28" t="s">
        <v>68</v>
      </c>
      <c r="I4" s="28" t="s">
        <v>69</v>
      </c>
      <c r="J4" s="28" t="s">
        <v>70</v>
      </c>
      <c r="K4" s="29" t="s">
        <v>71</v>
      </c>
      <c r="L4" s="219"/>
      <c r="M4" s="211"/>
      <c r="N4" s="30"/>
      <c r="O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5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</row>
    <row r="5" spans="1:130" s="10" customFormat="1" ht="15" customHeight="1" x14ac:dyDescent="0.2">
      <c r="A5" s="223" t="s">
        <v>58</v>
      </c>
      <c r="B5" s="224"/>
      <c r="C5" s="31">
        <f>SUM(D5:K5)</f>
        <v>143</v>
      </c>
      <c r="D5" s="32">
        <f>COUNTIFS('2025'!N:N, "&lt;500",'2025'!N:N, "&gt;250")</f>
        <v>0</v>
      </c>
      <c r="E5" s="32">
        <f>COUNTIFS('2025'!N:N, "&lt;1000",'2025'!N:N, "&gt;499")</f>
        <v>2</v>
      </c>
      <c r="F5" s="33">
        <f>COUNTIFS('2025'!N:N, "&lt;1500",'2025'!N:N, "&gt;999")</f>
        <v>2</v>
      </c>
      <c r="G5" s="33">
        <f>COUNTIFS('2025'!N:N, "&lt;2000",'2025'!N:N, "&gt;1499")</f>
        <v>4</v>
      </c>
      <c r="H5" s="144">
        <v>16</v>
      </c>
      <c r="I5" s="33">
        <f>COUNTIFS('2025'!N:N, "&lt;3000",'2025'!N:N, "&gt;2499")</f>
        <v>23</v>
      </c>
      <c r="J5" s="33">
        <f>COUNTIFS('2025'!N:N, "&lt;4000",'2025'!N:N, "&gt;2999")</f>
        <v>82</v>
      </c>
      <c r="K5" s="34">
        <f>COUNTIFS('2025'!N:N, "&lt;5500",'2025'!N:N, "&gt;3999")</f>
        <v>14</v>
      </c>
      <c r="L5" s="35">
        <f>COUNTIF('2025'!AO:AO, "SI")</f>
        <v>1</v>
      </c>
      <c r="M5" s="211"/>
      <c r="N5" s="36"/>
      <c r="O5" s="26"/>
      <c r="P5" s="11"/>
      <c r="Q5" s="11"/>
      <c r="R5" s="11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5"/>
      <c r="CA5" s="37" t="str">
        <f>IF(DA5=1,"* Total Nacidos Vivos con Anomalía Congénita NO DEBE ser MAYOR a Nacidos Vivos según peso al Nacer. ","")</f>
        <v/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3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</row>
    <row r="6" spans="1:130" s="10" customFormat="1" ht="27" customHeight="1" x14ac:dyDescent="0.2">
      <c r="A6" s="9" t="s">
        <v>43</v>
      </c>
      <c r="B6" s="9"/>
      <c r="E6" s="11"/>
      <c r="F6" s="11"/>
      <c r="G6" s="12"/>
      <c r="H6" s="11">
        <f>COUNTIFS('2025'!N:N, "&lt;2500",'2025'!N:N, "&gt;1999")</f>
        <v>17</v>
      </c>
      <c r="I6" s="11"/>
      <c r="J6" s="11"/>
      <c r="K6" s="11"/>
      <c r="L6" s="13"/>
      <c r="M6" s="11"/>
      <c r="N6" s="11"/>
      <c r="O6" s="11"/>
      <c r="P6" s="11"/>
      <c r="Q6" s="11"/>
      <c r="R6" s="11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5"/>
      <c r="CA6" s="16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</row>
    <row r="7" spans="1:130" s="10" customFormat="1" ht="44.25" customHeight="1" x14ac:dyDescent="0.2">
      <c r="A7" s="204" t="s">
        <v>44</v>
      </c>
      <c r="B7" s="204"/>
      <c r="C7" s="205" t="s">
        <v>45</v>
      </c>
      <c r="D7" s="206"/>
      <c r="E7" s="193" t="s">
        <v>9</v>
      </c>
      <c r="F7" s="207"/>
      <c r="G7" s="207"/>
      <c r="H7" s="194"/>
      <c r="I7" s="208" t="s">
        <v>46</v>
      </c>
      <c r="J7" s="208"/>
      <c r="K7" s="209" t="s">
        <v>47</v>
      </c>
      <c r="L7" s="209" t="s">
        <v>48</v>
      </c>
      <c r="M7" s="191" t="s">
        <v>49</v>
      </c>
      <c r="N7" s="186" t="s">
        <v>90</v>
      </c>
      <c r="O7" s="187"/>
      <c r="P7" s="11"/>
      <c r="Q7" s="11"/>
      <c r="R7" s="11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5"/>
      <c r="CA7" s="16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</row>
    <row r="8" spans="1:130" s="10" customFormat="1" ht="43.5" customHeight="1" x14ac:dyDescent="0.2">
      <c r="A8" s="204"/>
      <c r="B8" s="204"/>
      <c r="C8" s="19" t="s">
        <v>50</v>
      </c>
      <c r="D8" s="19" t="s">
        <v>51</v>
      </c>
      <c r="E8" s="19" t="s">
        <v>52</v>
      </c>
      <c r="F8" s="19" t="s">
        <v>53</v>
      </c>
      <c r="G8" s="19" t="s">
        <v>54</v>
      </c>
      <c r="H8" s="19" t="s">
        <v>55</v>
      </c>
      <c r="I8" s="20" t="s">
        <v>56</v>
      </c>
      <c r="J8" s="21" t="s">
        <v>57</v>
      </c>
      <c r="K8" s="210"/>
      <c r="L8" s="210"/>
      <c r="M8" s="192"/>
      <c r="N8" s="186"/>
      <c r="O8" s="187"/>
      <c r="P8" s="11"/>
      <c r="Q8" s="11"/>
      <c r="R8" s="11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5"/>
      <c r="CA8" s="16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</row>
    <row r="9" spans="1:130" s="10" customFormat="1" ht="26.25" customHeight="1" x14ac:dyDescent="0.2">
      <c r="A9" s="193" t="s">
        <v>58</v>
      </c>
      <c r="B9" s="194"/>
      <c r="C9" s="22">
        <f>COUNTIF('2025'!T:T,"SI")</f>
        <v>143</v>
      </c>
      <c r="D9" s="22">
        <f>COUNTIF('2025'!S:S,"SI")</f>
        <v>143</v>
      </c>
      <c r="E9" s="22">
        <f>COUNTIF('2025'!J:J, "EUTOCICO")</f>
        <v>73</v>
      </c>
      <c r="F9" s="22">
        <f>E12+E13</f>
        <v>4</v>
      </c>
      <c r="G9" s="22">
        <f>H12+H13</f>
        <v>66</v>
      </c>
      <c r="H9" s="22">
        <v>0</v>
      </c>
      <c r="I9" s="23">
        <f>COUNTIF('2025'!W:W, "&lt;4")</f>
        <v>3</v>
      </c>
      <c r="J9" s="22">
        <f>COUNTIF('2025'!X:X, "&lt;7")</f>
        <v>3</v>
      </c>
      <c r="K9" s="22">
        <f>COUNTIF('2025'!Y:Y, "SI")</f>
        <v>16</v>
      </c>
      <c r="L9" s="22">
        <f>COUNTIF('2025'!Z:Z, "SI")</f>
        <v>6</v>
      </c>
      <c r="M9" s="22"/>
      <c r="N9" s="186"/>
      <c r="O9" s="187"/>
      <c r="P9" s="11"/>
      <c r="Q9" s="11"/>
      <c r="R9" s="11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5"/>
      <c r="CA9" s="16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</row>
    <row r="10" spans="1:130" x14ac:dyDescent="0.25">
      <c r="G10" s="42"/>
    </row>
    <row r="12" spans="1:130" x14ac:dyDescent="0.25">
      <c r="D12" t="s">
        <v>41</v>
      </c>
      <c r="E12">
        <f>COUNTIFS('2025'!J:J,"DISTOCICO")</f>
        <v>1</v>
      </c>
      <c r="G12" s="43" t="s">
        <v>72</v>
      </c>
      <c r="H12" s="43">
        <f>COUNTIF('2025'!J:J, "CESAREA URGENCIA")</f>
        <v>39</v>
      </c>
    </row>
    <row r="13" spans="1:130" x14ac:dyDescent="0.25">
      <c r="D13" t="s">
        <v>42</v>
      </c>
      <c r="E13">
        <f>COUNTIFS('2025'!J:J,"VACUUM")</f>
        <v>3</v>
      </c>
      <c r="G13" s="43" t="s">
        <v>73</v>
      </c>
      <c r="H13" s="43">
        <f>COUNTIF('2025'!J:J, "CESAREA ELECTIVA")</f>
        <v>27</v>
      </c>
    </row>
    <row r="15" spans="1:130" x14ac:dyDescent="0.25">
      <c r="D15" t="s">
        <v>74</v>
      </c>
      <c r="F15" s="44">
        <f>SUM(E9:G9)</f>
        <v>143</v>
      </c>
    </row>
    <row r="18" spans="1:104" s="45" customFormat="1" ht="30" customHeight="1" x14ac:dyDescent="0.25">
      <c r="A18" s="188" t="s">
        <v>75</v>
      </c>
      <c r="B18" s="189"/>
      <c r="C18" s="189"/>
      <c r="D18" s="189"/>
      <c r="E18" s="189"/>
      <c r="F18" s="189"/>
      <c r="G18" s="190"/>
      <c r="CA18" s="46"/>
      <c r="CB18" s="46"/>
      <c r="CC18" s="46"/>
      <c r="CD18" s="46"/>
      <c r="CE18" s="46"/>
      <c r="CF18" s="46"/>
      <c r="CG18" s="47"/>
      <c r="CH18" s="47"/>
      <c r="CI18" s="47"/>
      <c r="CJ18" s="47"/>
      <c r="CK18" s="47"/>
      <c r="CL18" s="47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</row>
    <row r="19" spans="1:104" s="45" customFormat="1" ht="30.75" customHeight="1" x14ac:dyDescent="0.25">
      <c r="A19" s="48"/>
      <c r="B19" s="49" t="s">
        <v>76</v>
      </c>
      <c r="C19" s="50" t="s">
        <v>77</v>
      </c>
      <c r="D19" s="51" t="s">
        <v>78</v>
      </c>
      <c r="E19" s="195" t="s">
        <v>81</v>
      </c>
      <c r="F19" s="196"/>
      <c r="G19" s="197"/>
      <c r="I19" s="63"/>
      <c r="CA19" s="46"/>
      <c r="CB19" s="46"/>
      <c r="CC19" s="46"/>
      <c r="CD19" s="46"/>
      <c r="CE19" s="46"/>
      <c r="CF19" s="46"/>
      <c r="CG19" s="47"/>
      <c r="CH19" s="47"/>
      <c r="CI19" s="47"/>
      <c r="CJ19" s="47"/>
      <c r="CK19" s="47"/>
      <c r="CL19" s="47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</row>
    <row r="20" spans="1:104" s="45" customFormat="1" ht="27.75" customHeight="1" x14ac:dyDescent="0.25">
      <c r="A20" s="52" t="s">
        <v>79</v>
      </c>
      <c r="B20" s="53">
        <f>COUNTIF('2025'!S:S, "SI")</f>
        <v>143</v>
      </c>
      <c r="C20" s="54">
        <f>COUNTIFS('2025'!S:S,"SI",'2025'!AM:AM,"SI")</f>
        <v>0</v>
      </c>
      <c r="D20" s="39">
        <f>COUNTIFS('2025'!S:S, "SI",'2025'!AL:AL, "SI")</f>
        <v>7</v>
      </c>
      <c r="E20" s="198"/>
      <c r="F20" s="199"/>
      <c r="G20" s="200"/>
      <c r="I20" s="63"/>
      <c r="CA20" s="55" t="str">
        <f>IF(AND($B20&lt;&gt;0,C20=""),"* No olvide ingresar la columna Pueblos Originarios (Digite CERO si no tiene). ",IF(C20&gt;$B20,"* El Número de recién nacidos pertenecientes a Pueblos Originarios no puede superar el Total. ",""))</f>
        <v/>
      </c>
      <c r="CB20" s="55" t="str">
        <f>IF(AND($B20&lt;&gt;0,D20=""),"* No olvide ingresar la columna Migrantes (Digite CERO si no tiene). ",IF(D20&gt;$B20,"* El Número de recién nacidos en tratamiento pertenecientes a Población Migrante no puede superar el Total. ",""))</f>
        <v/>
      </c>
      <c r="CC20" s="46"/>
      <c r="CD20" s="46"/>
      <c r="CE20" s="46"/>
      <c r="CF20" s="46"/>
      <c r="CG20" s="56">
        <f>IF(AND($B20&lt;&gt;0,C20=""),1,IF(C20&gt;$B20,1,0))</f>
        <v>0</v>
      </c>
      <c r="CH20" s="56">
        <f>IF(AND($B20&lt;&gt;0,D20=""),1,IF(D20&gt;$B20,1,0))</f>
        <v>0</v>
      </c>
      <c r="CI20" s="47"/>
      <c r="CJ20" s="47"/>
      <c r="CK20" s="47"/>
      <c r="CL20" s="47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</row>
    <row r="21" spans="1:104" s="45" customFormat="1" ht="27" customHeight="1" x14ac:dyDescent="0.25">
      <c r="A21" s="57" t="s">
        <v>80</v>
      </c>
      <c r="B21" s="58">
        <f>C5</f>
        <v>143</v>
      </c>
      <c r="C21" s="59">
        <f>COUNTIFS('2025'!AM:AM,"SI")</f>
        <v>0</v>
      </c>
      <c r="D21" s="60">
        <f>COUNTIF('2025'!AL:AL, "SI")</f>
        <v>7</v>
      </c>
      <c r="E21" s="201"/>
      <c r="F21" s="202"/>
      <c r="G21" s="203"/>
      <c r="I21" s="63"/>
      <c r="CA21" s="55" t="str">
        <f>IF(AND($B21&lt;&gt;0,C21=""),"* No olvide ingresar la columna Pueblos Originarios (Digite CERO si no tiene). ",IF(C21&gt;$B21,"* El Número de recién nacidos pertenecientes a Pueblos Originarios no puede superar el Total. ",""))</f>
        <v/>
      </c>
      <c r="CB21" s="55" t="str">
        <f>IF(AND($B21&lt;&gt;0,D21=""),"* No olvide ingresar la columna Migrantes (Digite CERO si no tiene). ",IF(D21&gt;$B21,"* El Número de recién nacidos en tratamiento pertenecientes a Población Migrante no puede superar el Total. ",""))</f>
        <v/>
      </c>
      <c r="CC21" s="46"/>
      <c r="CD21" s="46"/>
      <c r="CE21" s="46"/>
      <c r="CF21" s="46"/>
      <c r="CG21" s="56">
        <f>IF(AND($B21&lt;&gt;0,C21=""),1,IF(C21&gt;$B21,1,0))</f>
        <v>0</v>
      </c>
      <c r="CH21" s="56">
        <f>IF(AND($B21&lt;&gt;0,D21=""),1,IF(D21&gt;$B21,1,0))</f>
        <v>0</v>
      </c>
      <c r="CI21" s="47"/>
      <c r="CJ21" s="47"/>
      <c r="CK21" s="47"/>
      <c r="CL21" s="47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</row>
    <row r="24" spans="1:104" s="45" customFormat="1" ht="30" customHeight="1" x14ac:dyDescent="0.25">
      <c r="A24" s="174" t="s">
        <v>82</v>
      </c>
      <c r="B24" s="175"/>
      <c r="C24" s="175"/>
      <c r="D24" s="175"/>
      <c r="E24" s="175"/>
      <c r="F24" s="175"/>
      <c r="G24" s="176"/>
      <c r="H24"/>
      <c r="J24"/>
      <c r="K24"/>
      <c r="L24"/>
      <c r="M24"/>
      <c r="CA24" s="46"/>
      <c r="CB24" s="46"/>
      <c r="CC24" s="46"/>
      <c r="CD24" s="46"/>
      <c r="CE24" s="46"/>
      <c r="CF24" s="46"/>
      <c r="CG24" s="47"/>
      <c r="CH24" s="47"/>
      <c r="CI24" s="47"/>
      <c r="CJ24" s="47"/>
      <c r="CK24" s="47"/>
      <c r="CL24" s="47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</row>
    <row r="25" spans="1:104" s="45" customFormat="1" ht="29.25" customHeight="1" x14ac:dyDescent="0.25">
      <c r="A25" s="51"/>
      <c r="B25" s="49" t="s">
        <v>76</v>
      </c>
      <c r="C25" s="61" t="s">
        <v>77</v>
      </c>
      <c r="D25" s="51" t="s">
        <v>78</v>
      </c>
      <c r="E25" s="177" t="s">
        <v>81</v>
      </c>
      <c r="F25" s="178"/>
      <c r="G25" s="179"/>
      <c r="H25"/>
      <c r="I25" s="64"/>
      <c r="J25"/>
      <c r="K25"/>
      <c r="L25"/>
      <c r="M25"/>
      <c r="CA25" s="46"/>
      <c r="CB25" s="46"/>
      <c r="CC25" s="46"/>
      <c r="CD25" s="46"/>
      <c r="CE25" s="46"/>
      <c r="CF25" s="46"/>
      <c r="CG25" s="47"/>
      <c r="CH25" s="47"/>
      <c r="CI25" s="47"/>
      <c r="CJ25" s="47"/>
      <c r="CK25" s="47"/>
      <c r="CL25" s="47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</row>
    <row r="26" spans="1:104" s="45" customFormat="1" ht="32.1" customHeight="1" x14ac:dyDescent="0.25">
      <c r="A26" s="62" t="s">
        <v>83</v>
      </c>
      <c r="B26" s="53">
        <f>COUNTIF('2025'!AI:AI, "POSITIVO")</f>
        <v>0</v>
      </c>
      <c r="C26" s="54">
        <f>COUNTIFS('2025'!AI:AI,"POSITIVO",'2025'!AM:AM, "SI")</f>
        <v>0</v>
      </c>
      <c r="D26" s="40">
        <f>COUNTIFS('2025'!AI:AI,"POSITIVO",'2025'!AL:AL, "SI")</f>
        <v>0</v>
      </c>
      <c r="E26" s="180"/>
      <c r="F26" s="181"/>
      <c r="G26" s="182"/>
      <c r="I26" s="64"/>
      <c r="CA26" s="55" t="str">
        <f>IF(AND($B26&lt;&gt;0,C26=""),"* No olvide ingresar la columna Pueblos Originarios (Digite CERO si no tiene). ",IF(C26&gt;$B26,"* El Número de recién nacidos pertenecientes a Pueblos Originarios no puede superar el Total. ",""))</f>
        <v/>
      </c>
      <c r="CB26" s="55" t="str">
        <f>IF(AND($B26&lt;&gt;0,D26=""),"* No olvide ingresar la columna Migrantes (Digite CERO si no tiene). ",IF(D26&gt;$B26,"* El Número de recién nacidos en tratamiento pertenecientes a Población Migrante no puede superar el Total. ",""))</f>
        <v/>
      </c>
      <c r="CC26" s="46"/>
      <c r="CD26" s="46"/>
      <c r="CE26" s="46"/>
      <c r="CF26" s="46"/>
      <c r="CG26" s="56">
        <f>IF(AND($B26&lt;&gt;0,C26=""),1,IF(C26&gt;$B26,1,0))</f>
        <v>0</v>
      </c>
      <c r="CH26" s="56">
        <f>IF(AND($B26&lt;&gt;0,D26=""),1,IF(D26&gt;$B26,1,0))</f>
        <v>0</v>
      </c>
      <c r="CI26" s="47"/>
      <c r="CJ26" s="47"/>
      <c r="CK26" s="47"/>
      <c r="CL26" s="47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</row>
    <row r="27" spans="1:104" s="45" customFormat="1" ht="42.95" customHeight="1" x14ac:dyDescent="0.25">
      <c r="A27" s="57" t="s">
        <v>84</v>
      </c>
      <c r="B27" s="58">
        <f>COUNTIF('2025'!AJ:AJ, "SI")</f>
        <v>0</v>
      </c>
      <c r="C27" s="59">
        <f>COUNTIFS('2025'!AJ:AJ,"SI",'2025'!AM:AM, "SI")</f>
        <v>0</v>
      </c>
      <c r="D27" s="41">
        <f>COUNTIFS('2025'!AJ:AJ,"SI",'2025'!AL:AL, "SI")</f>
        <v>0</v>
      </c>
      <c r="E27" s="183"/>
      <c r="F27" s="184"/>
      <c r="G27" s="185"/>
      <c r="I27" s="64"/>
      <c r="CA27" s="55" t="str">
        <f>IF(AND($B27&lt;&gt;0,C27=""),"* No olvide ingresar la columna Pueblos Originarios (Digite CERO si no tiene). ",IF(C27&gt;$B27,"* El Número de recién nacidos pertenecientes a Pueblos Originarios no puede superar el Total. ",""))</f>
        <v/>
      </c>
      <c r="CB27" s="55" t="str">
        <f>IF(AND($B27&lt;&gt;0,D27=""),"* No olvide ingresar la columna Migrantes (Digite CERO si no tiene). ",IF(D27&gt;$B27,"* El Número de recién nacidos en tratamiento pertenecientes a Población Migrante no puede superar el Total. ",""))</f>
        <v/>
      </c>
      <c r="CC27" s="46"/>
      <c r="CD27" s="46"/>
      <c r="CE27" s="46"/>
      <c r="CF27" s="46"/>
      <c r="CG27" s="56">
        <f>IF(AND($B27&lt;&gt;0,C27=""),1,IF(C27&gt;$B27,1,0))</f>
        <v>0</v>
      </c>
      <c r="CH27" s="56">
        <f>IF(AND($B27&lt;&gt;0,D27=""),1,IF(D27&gt;$B27,1,0))</f>
        <v>0</v>
      </c>
      <c r="CI27" s="47"/>
      <c r="CJ27" s="47"/>
      <c r="CK27" s="47"/>
      <c r="CL27" s="47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</row>
    <row r="30" spans="1:104" ht="15" customHeight="1" x14ac:dyDescent="0.25">
      <c r="A30" s="172" t="s">
        <v>92</v>
      </c>
      <c r="B30" s="172"/>
      <c r="C30" s="172" t="s">
        <v>91</v>
      </c>
      <c r="E30" s="173" t="s">
        <v>98</v>
      </c>
      <c r="F30" s="173"/>
      <c r="G30" s="173"/>
    </row>
    <row r="31" spans="1:104" x14ac:dyDescent="0.25">
      <c r="A31" s="172"/>
      <c r="B31" s="172"/>
      <c r="C31" s="172"/>
      <c r="E31" s="173"/>
      <c r="F31" s="173"/>
      <c r="G31" s="173"/>
    </row>
    <row r="32" spans="1:104" ht="53.25" customHeight="1" x14ac:dyDescent="0.25">
      <c r="A32" s="172"/>
      <c r="B32" s="172"/>
      <c r="C32" s="172"/>
      <c r="E32" s="173"/>
      <c r="F32" s="173"/>
      <c r="G32" s="173"/>
    </row>
    <row r="33" spans="1:7" x14ac:dyDescent="0.25">
      <c r="A33" s="171" t="s">
        <v>93</v>
      </c>
      <c r="B33" s="171"/>
      <c r="C33" s="65">
        <f>SUM(C34:C37)</f>
        <v>122</v>
      </c>
      <c r="E33" s="173"/>
      <c r="F33" s="173"/>
      <c r="G33" s="173"/>
    </row>
    <row r="34" spans="1:7" x14ac:dyDescent="0.25">
      <c r="A34" s="171" t="s">
        <v>94</v>
      </c>
      <c r="B34" s="171"/>
      <c r="C34" s="66">
        <f>COUNTIFS('2025'!R:R, "SI",'2025'!J:J, "EUTOCICO")</f>
        <v>65</v>
      </c>
      <c r="E34" s="173"/>
      <c r="F34" s="173"/>
      <c r="G34" s="173"/>
    </row>
    <row r="35" spans="1:7" x14ac:dyDescent="0.25">
      <c r="A35" s="171" t="s">
        <v>95</v>
      </c>
      <c r="B35" s="171"/>
      <c r="C35" s="66">
        <f>COUNTIFS('2025'!R:R, "SI",'2025'!J:J, "CESAREA DISTOCICO")</f>
        <v>0</v>
      </c>
      <c r="E35" s="173"/>
      <c r="F35" s="173"/>
      <c r="G35" s="173"/>
    </row>
    <row r="36" spans="1:7" x14ac:dyDescent="0.25">
      <c r="A36" s="171" t="s">
        <v>96</v>
      </c>
      <c r="B36" s="171"/>
      <c r="C36" s="66">
        <f>COUNTIFS('2025'!R:R, "SI",'2025'!J:J,"CESAREA ELECTIVA")</f>
        <v>26</v>
      </c>
      <c r="E36" s="173"/>
      <c r="F36" s="173"/>
      <c r="G36" s="173"/>
    </row>
    <row r="37" spans="1:7" x14ac:dyDescent="0.25">
      <c r="A37" s="171" t="s">
        <v>97</v>
      </c>
      <c r="B37" s="171"/>
      <c r="C37" s="66">
        <f>COUNTIFS('2025'!R:R, "SI",'2025'!J:J, "CESAREA URGENCIA")</f>
        <v>31</v>
      </c>
      <c r="E37" s="173"/>
      <c r="F37" s="173"/>
      <c r="G37" s="173"/>
    </row>
  </sheetData>
  <mergeCells count="29">
    <mergeCell ref="M3:M5"/>
    <mergeCell ref="A1:G1"/>
    <mergeCell ref="A2:G2"/>
    <mergeCell ref="A3:B4"/>
    <mergeCell ref="C3:C4"/>
    <mergeCell ref="D3:K3"/>
    <mergeCell ref="L3:L4"/>
    <mergeCell ref="A5:B5"/>
    <mergeCell ref="A24:G24"/>
    <mergeCell ref="E25:G27"/>
    <mergeCell ref="N7:O9"/>
    <mergeCell ref="A18:G18"/>
    <mergeCell ref="M7:M8"/>
    <mergeCell ref="A9:B9"/>
    <mergeCell ref="E19:G21"/>
    <mergeCell ref="A7:B8"/>
    <mergeCell ref="C7:D7"/>
    <mergeCell ref="E7:H7"/>
    <mergeCell ref="I7:J7"/>
    <mergeCell ref="K7:K8"/>
    <mergeCell ref="L7:L8"/>
    <mergeCell ref="A36:B36"/>
    <mergeCell ref="A37:B37"/>
    <mergeCell ref="C30:C32"/>
    <mergeCell ref="E30:G37"/>
    <mergeCell ref="A30:B32"/>
    <mergeCell ref="A33:B33"/>
    <mergeCell ref="A34:B34"/>
    <mergeCell ref="A35:B35"/>
  </mergeCells>
  <dataValidations count="1">
    <dataValidation allowBlank="1" showInputMessage="1" showErrorMessage="1" error="Valor no Permitido" sqref="B6:M6 K7:M7 E7 C9:H9 I7:J9 K9:M9 Q1:XFD3 A5:A9 B1:L2 L3 L5 C3:K5 A1:A3 CI5:XFD5 Q4:CA5 CC4:XFD4 CC5:CG5 N6:N7 O6 P6:XFD9 N1:P5 M1:M3 A30:A31 A33:A37 C30:C31 C33:C37" xr:uid="{00000000-0002-0000-0300-000000000000}"/>
  </dataValidations>
  <pageMargins left="0.7" right="0.7" top="0.75" bottom="0.75" header="0.3" footer="0.3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2025</vt:lpstr>
      <vt:lpstr>BCG (2)</vt:lpstr>
      <vt:lpstr>BCG</vt:lpstr>
      <vt:lpstr>REM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Lopez S. (HHM)</dc:creator>
  <cp:lastModifiedBy>Carlos Amado Arostica Olave</cp:lastModifiedBy>
  <cp:lastPrinted>2025-07-07T12:21:49Z</cp:lastPrinted>
  <dcterms:created xsi:type="dcterms:W3CDTF">2023-03-31T22:19:47Z</dcterms:created>
  <dcterms:modified xsi:type="dcterms:W3CDTF">2025-11-03T20:31:25Z</dcterms:modified>
</cp:coreProperties>
</file>